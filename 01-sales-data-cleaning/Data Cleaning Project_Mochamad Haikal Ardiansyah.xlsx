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283D716-4E86-4799-8E3B-6DFC83A3C867}" xr6:coauthVersionLast="47" xr6:coauthVersionMax="47" xr10:uidLastSave="{00000000-0000-0000-0000-000000000000}"/>
  <bookViews>
    <workbookView xWindow="-108" yWindow="-108" windowWidth="23256" windowHeight="12576" xr2:uid="{9C9770DA-533A-49B2-8ECF-A2E2D35CE4D9}"/>
  </bookViews>
  <sheets>
    <sheet name="Cleaned Data" sheetId="2" r:id="rId1"/>
    <sheet name="Summary Analysis" sheetId="3" r:id="rId2"/>
    <sheet name="CLeaning Lo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3" l="1"/>
  <c r="C11" i="3"/>
  <c r="C19" i="3"/>
  <c r="C18" i="3"/>
  <c r="C17" i="3"/>
  <c r="C15" i="3"/>
  <c r="C14" i="3"/>
  <c r="C13" i="3"/>
  <c r="C12" i="3"/>
  <c r="E7" i="3"/>
  <c r="E5" i="3"/>
</calcChain>
</file>

<file path=xl/sharedStrings.xml><?xml version="1.0" encoding="utf-8"?>
<sst xmlns="http://schemas.openxmlformats.org/spreadsheetml/2006/main" count="139" uniqueCount="88">
  <si>
    <t>Rank</t>
  </si>
  <si>
    <t>Peak</t>
  </si>
  <si>
    <t>All Time Peak</t>
  </si>
  <si>
    <t>Artist</t>
  </si>
  <si>
    <t>Tour title</t>
  </si>
  <si>
    <t>Year(s)</t>
  </si>
  <si>
    <t>Shows</t>
  </si>
  <si>
    <t>Average gross</t>
  </si>
  <si>
    <t>Taylor Swift</t>
  </si>
  <si>
    <t>The Eras Tour</t>
  </si>
  <si>
    <t>2023–2024</t>
  </si>
  <si>
    <t>Beyoncé</t>
  </si>
  <si>
    <t>Renaissance World Tour</t>
  </si>
  <si>
    <t>Madonna</t>
  </si>
  <si>
    <t xml:space="preserve">Sticky &amp; Sweet Tour </t>
  </si>
  <si>
    <t>2008–2009</t>
  </si>
  <si>
    <t>Pink</t>
  </si>
  <si>
    <t>Beautiful Trauma World Tour</t>
  </si>
  <si>
    <t>2018–2019</t>
  </si>
  <si>
    <t>Reputation Stadium Tour</t>
  </si>
  <si>
    <t>The MDNA Tour</t>
  </si>
  <si>
    <t>Celine Dion</t>
  </si>
  <si>
    <t>Taking Chances World Tour</t>
  </si>
  <si>
    <t>Summer Carnival</t>
  </si>
  <si>
    <t>The Formation World Tour</t>
  </si>
  <si>
    <t>The 1989 World Tour</t>
  </si>
  <si>
    <t>The Mrs. Carter Show World Tour</t>
  </si>
  <si>
    <t>2013–2014</t>
  </si>
  <si>
    <t>Lady Gaga</t>
  </si>
  <si>
    <t>The Monster Ball Tour</t>
  </si>
  <si>
    <t>2009–2011</t>
  </si>
  <si>
    <t>Katy Perry</t>
  </si>
  <si>
    <t>Prismatic World Tour</t>
  </si>
  <si>
    <t>2014–2015</t>
  </si>
  <si>
    <t>Cher</t>
  </si>
  <si>
    <t xml:space="preserve">Living Proof: The Farewell Tour </t>
  </si>
  <si>
    <t>2002–2005</t>
  </si>
  <si>
    <t>Confessions Tour</t>
  </si>
  <si>
    <t>The Truth About Love Tour</t>
  </si>
  <si>
    <t>Born This Way Ball</t>
  </si>
  <si>
    <t>2012–2013</t>
  </si>
  <si>
    <t>Rebel Heart Tour</t>
  </si>
  <si>
    <t>2015–2016</t>
  </si>
  <si>
    <t>Adele</t>
  </si>
  <si>
    <t>Adele Live 2016</t>
  </si>
  <si>
    <t>2016–2017</t>
  </si>
  <si>
    <t>The Red Tour</t>
  </si>
  <si>
    <t>N/A</t>
  </si>
  <si>
    <t>Top 20 Highest-Grossing Female Music Tours - Summary Analysis</t>
  </si>
  <si>
    <t>source: Wikipedia | Cleaned by : Mochamad Haikal Ardiansyah</t>
  </si>
  <si>
    <t>KPI SUMMARY</t>
  </si>
  <si>
    <t>Total Hours</t>
  </si>
  <si>
    <t>Artists Represented</t>
  </si>
  <si>
    <t>Year Range</t>
  </si>
  <si>
    <t>2002-2024</t>
  </si>
  <si>
    <t>Total Revenue (Actual)</t>
  </si>
  <si>
    <t>Highest Grossing Tour</t>
  </si>
  <si>
    <t>The Eras Tour (Taylor Swift)</t>
  </si>
  <si>
    <t>Avg Revenue per Tour</t>
  </si>
  <si>
    <t>Tour Title</t>
  </si>
  <si>
    <t>REVENUE BY ARTIST (Actual Gross)</t>
  </si>
  <si>
    <t>Tours</t>
  </si>
  <si>
    <t>Total Revenue (USD)</t>
  </si>
  <si>
    <t>Data Cleaning Log</t>
  </si>
  <si>
    <t>#</t>
  </si>
  <si>
    <t>Semua kolom</t>
  </si>
  <si>
    <t>Actual Gross, Adjusted Gross, Average Gross</t>
  </si>
  <si>
    <t>Peak, All Time Peak</t>
  </si>
  <si>
    <t>Ref.</t>
  </si>
  <si>
    <t>Column / Area</t>
  </si>
  <si>
    <t>Issue Found</t>
  </si>
  <si>
    <t>Action Taken</t>
  </si>
  <si>
    <t>Reference brackets nempel di angka (e.g. '1[4]', '2[5]')</t>
  </si>
  <si>
    <t>Format string dengan simbol '$' dan ',' (e.g. '$780,000,000')</t>
  </si>
  <si>
    <t>Simbol khusus nempel di nama tour (†, ‡, *)</t>
  </si>
  <si>
    <t>Kolom berisi citation references saja ([1],[3]), tidak ada nilai analitis</t>
  </si>
  <si>
    <t>Missing values di beberapa baris</t>
  </si>
  <si>
    <t>Duplikat rank 7 di dua baris berbeda</t>
  </si>
  <si>
    <t>Whitespace tersisa setelah cleaning</t>
  </si>
  <si>
    <t>Hapus semua teks dalam [...] menggunakan regex, konversi ke integer</t>
  </si>
  <si>
    <t>Hapus '$' dan ',', konversi ke float numeric</t>
  </si>
  <si>
    <t>Hapus semua simbol non-alfanumerik dengan regex</t>
  </si>
  <si>
    <t>Drop kolom seluruhnya</t>
  </si>
  <si>
    <t>Isi dengan 0 (belum ada ranking resmi)</t>
  </si>
  <si>
    <t>Dibiarkan sesuai data asli (tied rank)</t>
  </si>
  <si>
    <t>Strip() diterapkan ke semua nilai string</t>
  </si>
  <si>
    <t>Actual Gross (USD)</t>
  </si>
  <si>
    <t>Adjusted Gross 2022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</si>
</sst>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164" fontId="0" fillId="3" borderId="1" xfId="1" applyNumberFormat="1" applyFont="1" applyFill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8" fillId="0" borderId="0" xfId="0" applyFont="1"/>
    <xf numFmtId="0" fontId="2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4" fontId="4" fillId="0" borderId="0" xfId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0" xfId="0" applyFont="1" applyAlignme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0735E-35F6-45FA-BEA9-AF2C82E26E9E}" name="Table1" displayName="Table1" ref="A1:J21" totalsRowShown="0" headerRowDxfId="6">
  <autoFilter ref="A1:J21" xr:uid="{4267CC73-9CEC-424A-8AB8-6260DEEB9E10}"/>
  <tableColumns count="10">
    <tableColumn id="1" xr3:uid="{17D14577-C529-4BCB-A982-AE7E718B16FB}" name="Rank" dataDxfId="3"/>
    <tableColumn id="2" xr3:uid="{C0A97E9F-709B-4C85-824C-3463AC939FFA}" name="Peak" dataDxfId="2"/>
    <tableColumn id="3" xr3:uid="{E00CE6B7-2BA0-4CB7-AE86-77B058BC78B6}" name="All Time Peak" dataDxfId="0"/>
    <tableColumn id="4" xr3:uid="{85D364FB-9342-44B9-B501-199F122BB1F5}" name="Actual Gross (USD)" dataDxfId="1" dataCellStyle="Currency"/>
    <tableColumn id="5" xr3:uid="{84606D80-F1C0-466B-BDBE-48635F66294B}" name="Adjusted Gross 2022 (USD)" dataDxfId="5" dataCellStyle="Currency"/>
    <tableColumn id="6" xr3:uid="{0CE6562C-1877-4244-AC02-CF512B6CA15B}" name="Artist"/>
    <tableColumn id="7" xr3:uid="{A11CF912-D58B-4AA9-BE7C-BA315CA60C9F}" name="Tour title"/>
    <tableColumn id="8" xr3:uid="{75FACF9B-8C94-41D0-A233-6E5F5CD3085E}" name="Year(s)"/>
    <tableColumn id="9" xr3:uid="{F563C3F2-73A8-4B2B-A53C-3E0860E508BF}" name="Shows"/>
    <tableColumn id="10" xr3:uid="{C95DE6CB-5470-4FAD-B970-C8C3E694F634}" name="Average gros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DC09-52B9-4E42-8F2F-C6549FE80106}">
  <dimension ref="A1:J21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4.4" x14ac:dyDescent="0.3"/>
  <cols>
    <col min="3" max="3" width="14.109375" customWidth="1"/>
    <col min="4" max="4" width="15.6640625" style="1" bestFit="1" customWidth="1"/>
    <col min="5" max="5" width="26.44140625" style="2" customWidth="1"/>
    <col min="6" max="6" width="10.6640625" bestFit="1" customWidth="1"/>
    <col min="7" max="7" width="32.77734375" bestFit="1" customWidth="1"/>
    <col min="8" max="8" width="10" bestFit="1" customWidth="1"/>
    <col min="9" max="9" width="8.33203125" customWidth="1"/>
    <col min="10" max="10" width="14.5546875" bestFit="1" customWidth="1"/>
  </cols>
  <sheetData>
    <row r="1" spans="1:10" s="12" customFormat="1" ht="40.049999999999997" customHeight="1" x14ac:dyDescent="0.3">
      <c r="A1" s="20" t="s">
        <v>0</v>
      </c>
      <c r="B1" s="20" t="s">
        <v>1</v>
      </c>
      <c r="C1" s="20" t="s">
        <v>2</v>
      </c>
      <c r="D1" s="21" t="s">
        <v>86</v>
      </c>
      <c r="E1" s="22" t="s">
        <v>87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</row>
    <row r="2" spans="1:10" x14ac:dyDescent="0.3">
      <c r="A2" s="27">
        <v>1</v>
      </c>
      <c r="B2" s="27">
        <v>1</v>
      </c>
      <c r="C2" s="27">
        <v>2</v>
      </c>
      <c r="D2" s="2">
        <v>780000000</v>
      </c>
      <c r="E2" s="2">
        <v>780000000</v>
      </c>
      <c r="F2" t="s">
        <v>8</v>
      </c>
      <c r="G2" t="s">
        <v>9</v>
      </c>
      <c r="H2" t="s">
        <v>10</v>
      </c>
      <c r="I2">
        <v>56</v>
      </c>
      <c r="J2" s="3">
        <v>153214281</v>
      </c>
    </row>
    <row r="3" spans="1:10" x14ac:dyDescent="0.3">
      <c r="A3" s="27">
        <v>2</v>
      </c>
      <c r="B3" s="27">
        <v>1</v>
      </c>
      <c r="C3" s="27">
        <v>7</v>
      </c>
      <c r="D3" s="2">
        <v>579800000</v>
      </c>
      <c r="E3" s="2">
        <v>579800000</v>
      </c>
      <c r="F3" t="s">
        <v>11</v>
      </c>
      <c r="G3" t="s">
        <v>12</v>
      </c>
      <c r="H3">
        <v>2023</v>
      </c>
      <c r="I3">
        <v>56</v>
      </c>
      <c r="J3" s="3">
        <v>113889281</v>
      </c>
    </row>
    <row r="4" spans="1:10" x14ac:dyDescent="0.3">
      <c r="A4" s="27">
        <v>3</v>
      </c>
      <c r="B4" s="27">
        <v>1</v>
      </c>
      <c r="C4" s="27">
        <v>2</v>
      </c>
      <c r="D4" s="2">
        <v>411000000</v>
      </c>
      <c r="E4" s="2">
        <v>560622615</v>
      </c>
      <c r="F4" t="s">
        <v>13</v>
      </c>
      <c r="G4" t="s">
        <v>14</v>
      </c>
      <c r="H4" t="s">
        <v>15</v>
      </c>
      <c r="I4">
        <v>85</v>
      </c>
      <c r="J4" s="3">
        <v>53188234</v>
      </c>
    </row>
    <row r="5" spans="1:10" x14ac:dyDescent="0.3">
      <c r="A5" s="27">
        <v>4</v>
      </c>
      <c r="B5" s="27">
        <v>2</v>
      </c>
      <c r="C5" s="27">
        <v>10</v>
      </c>
      <c r="D5" s="2">
        <v>397300000</v>
      </c>
      <c r="E5" s="2">
        <v>454751555</v>
      </c>
      <c r="F5" t="s">
        <v>16</v>
      </c>
      <c r="G5" t="s">
        <v>17</v>
      </c>
      <c r="H5" t="s">
        <v>18</v>
      </c>
      <c r="I5">
        <v>156</v>
      </c>
      <c r="J5" s="3">
        <v>28014745</v>
      </c>
    </row>
    <row r="6" spans="1:10" x14ac:dyDescent="0.3">
      <c r="A6" s="27">
        <v>5</v>
      </c>
      <c r="B6" s="27">
        <v>2</v>
      </c>
      <c r="C6" s="27" t="s">
        <v>47</v>
      </c>
      <c r="D6" s="2">
        <v>345675146</v>
      </c>
      <c r="E6" s="2">
        <v>402844849</v>
      </c>
      <c r="F6" t="s">
        <v>8</v>
      </c>
      <c r="G6" t="s">
        <v>19</v>
      </c>
      <c r="H6">
        <v>2018</v>
      </c>
      <c r="I6">
        <v>53</v>
      </c>
      <c r="J6" s="3">
        <v>71743903</v>
      </c>
    </row>
    <row r="7" spans="1:10" x14ac:dyDescent="0.3">
      <c r="A7" s="27">
        <v>6</v>
      </c>
      <c r="B7" s="27">
        <v>2</v>
      </c>
      <c r="C7" s="27">
        <v>10</v>
      </c>
      <c r="D7" s="2">
        <v>305158363</v>
      </c>
      <c r="E7" s="2">
        <v>388978496</v>
      </c>
      <c r="F7" t="s">
        <v>13</v>
      </c>
      <c r="G7" t="s">
        <v>20</v>
      </c>
      <c r="H7">
        <v>2012</v>
      </c>
      <c r="I7">
        <v>88</v>
      </c>
      <c r="J7" s="3">
        <v>38144799</v>
      </c>
    </row>
    <row r="8" spans="1:10" x14ac:dyDescent="0.3">
      <c r="A8" s="27">
        <v>7</v>
      </c>
      <c r="B8" s="27">
        <v>2</v>
      </c>
      <c r="C8" s="27" t="s">
        <v>47</v>
      </c>
      <c r="D8" s="2">
        <v>280000000</v>
      </c>
      <c r="E8" s="2">
        <v>381932682</v>
      </c>
      <c r="F8" t="s">
        <v>21</v>
      </c>
      <c r="G8" t="s">
        <v>22</v>
      </c>
      <c r="H8" t="s">
        <v>15</v>
      </c>
      <c r="I8">
        <v>131</v>
      </c>
      <c r="J8" s="3">
        <v>23511455</v>
      </c>
    </row>
    <row r="9" spans="1:10" x14ac:dyDescent="0.3">
      <c r="A9" s="27">
        <v>7</v>
      </c>
      <c r="B9" s="27" t="s">
        <v>47</v>
      </c>
      <c r="C9" s="27" t="s">
        <v>47</v>
      </c>
      <c r="D9" s="2">
        <v>257600000</v>
      </c>
      <c r="E9" s="2">
        <v>257600000</v>
      </c>
      <c r="F9" t="s">
        <v>16</v>
      </c>
      <c r="G9" t="s">
        <v>23</v>
      </c>
      <c r="H9" t="s">
        <v>10</v>
      </c>
      <c r="I9">
        <v>41</v>
      </c>
      <c r="J9" s="3">
        <v>69112197</v>
      </c>
    </row>
    <row r="10" spans="1:10" x14ac:dyDescent="0.3">
      <c r="A10" s="27">
        <v>9</v>
      </c>
      <c r="B10" s="27" t="s">
        <v>47</v>
      </c>
      <c r="C10" s="27" t="s">
        <v>47</v>
      </c>
      <c r="D10" s="2">
        <v>256084556</v>
      </c>
      <c r="E10" s="2">
        <v>312258401</v>
      </c>
      <c r="F10" t="s">
        <v>11</v>
      </c>
      <c r="G10" t="s">
        <v>24</v>
      </c>
      <c r="H10">
        <v>2016</v>
      </c>
      <c r="I10">
        <v>49</v>
      </c>
      <c r="J10" s="3">
        <v>57488365</v>
      </c>
    </row>
    <row r="11" spans="1:10" x14ac:dyDescent="0.3">
      <c r="A11" s="27">
        <v>10</v>
      </c>
      <c r="B11" s="27" t="s">
        <v>47</v>
      </c>
      <c r="C11" s="27" t="s">
        <v>47</v>
      </c>
      <c r="D11" s="2">
        <v>250400000</v>
      </c>
      <c r="E11" s="2">
        <v>309141878</v>
      </c>
      <c r="F11" t="s">
        <v>8</v>
      </c>
      <c r="G11" t="s">
        <v>25</v>
      </c>
      <c r="H11">
        <v>2015</v>
      </c>
      <c r="I11">
        <v>85</v>
      </c>
      <c r="J11" s="3">
        <v>32404702</v>
      </c>
    </row>
    <row r="12" spans="1:10" x14ac:dyDescent="0.3">
      <c r="A12" s="27">
        <v>11</v>
      </c>
      <c r="B12" s="27" t="s">
        <v>47</v>
      </c>
      <c r="C12" s="27" t="s">
        <v>47</v>
      </c>
      <c r="D12" s="2">
        <v>229100000</v>
      </c>
      <c r="E12" s="2">
        <v>283202896</v>
      </c>
      <c r="F12" t="s">
        <v>11</v>
      </c>
      <c r="G12" t="s">
        <v>26</v>
      </c>
      <c r="H12" t="s">
        <v>27</v>
      </c>
      <c r="I12">
        <v>132</v>
      </c>
      <c r="J12" s="3">
        <v>19091666</v>
      </c>
    </row>
    <row r="13" spans="1:10" x14ac:dyDescent="0.3">
      <c r="A13" s="27">
        <v>12</v>
      </c>
      <c r="B13" s="27" t="s">
        <v>47</v>
      </c>
      <c r="C13" s="27">
        <v>14</v>
      </c>
      <c r="D13" s="2">
        <v>227400000</v>
      </c>
      <c r="E13" s="2">
        <v>295301479</v>
      </c>
      <c r="F13" t="s">
        <v>28</v>
      </c>
      <c r="G13" t="s">
        <v>29</v>
      </c>
      <c r="H13" t="s">
        <v>30</v>
      </c>
      <c r="I13">
        <v>203</v>
      </c>
      <c r="J13" s="3">
        <v>12300497</v>
      </c>
    </row>
    <row r="14" spans="1:10" x14ac:dyDescent="0.3">
      <c r="A14" s="27">
        <v>13</v>
      </c>
      <c r="B14" s="27" t="s">
        <v>47</v>
      </c>
      <c r="C14" s="27" t="s">
        <v>47</v>
      </c>
      <c r="D14" s="2">
        <v>204000000</v>
      </c>
      <c r="E14" s="2">
        <v>251856802</v>
      </c>
      <c r="F14" t="s">
        <v>31</v>
      </c>
      <c r="G14" t="s">
        <v>32</v>
      </c>
      <c r="H14" t="s">
        <v>33</v>
      </c>
      <c r="I14">
        <v>151</v>
      </c>
      <c r="J14" s="3">
        <v>14860923</v>
      </c>
    </row>
    <row r="15" spans="1:10" x14ac:dyDescent="0.3">
      <c r="A15" s="27">
        <v>14</v>
      </c>
      <c r="B15" s="27">
        <v>1</v>
      </c>
      <c r="C15" s="27" t="s">
        <v>47</v>
      </c>
      <c r="D15" s="2">
        <v>200000000</v>
      </c>
      <c r="E15" s="2">
        <v>299676265</v>
      </c>
      <c r="F15" t="s">
        <v>34</v>
      </c>
      <c r="G15" t="s">
        <v>35</v>
      </c>
      <c r="H15" t="s">
        <v>36</v>
      </c>
      <c r="I15">
        <v>325</v>
      </c>
      <c r="J15" s="3">
        <v>6769235</v>
      </c>
    </row>
    <row r="16" spans="1:10" x14ac:dyDescent="0.3">
      <c r="A16" s="27">
        <v>15</v>
      </c>
      <c r="B16" s="27">
        <v>2</v>
      </c>
      <c r="C16" s="27" t="s">
        <v>47</v>
      </c>
      <c r="D16" s="2">
        <v>194000000</v>
      </c>
      <c r="E16" s="2">
        <v>281617035</v>
      </c>
      <c r="F16" t="s">
        <v>13</v>
      </c>
      <c r="G16" t="s">
        <v>37</v>
      </c>
      <c r="H16">
        <v>2006</v>
      </c>
      <c r="I16">
        <v>60</v>
      </c>
      <c r="J16" s="3">
        <v>35566663</v>
      </c>
    </row>
    <row r="17" spans="1:10" x14ac:dyDescent="0.3">
      <c r="A17" s="27">
        <v>16</v>
      </c>
      <c r="B17" s="27" t="s">
        <v>47</v>
      </c>
      <c r="C17" s="27" t="s">
        <v>47</v>
      </c>
      <c r="D17" s="2">
        <v>184000000</v>
      </c>
      <c r="E17" s="2">
        <v>227452347</v>
      </c>
      <c r="F17" t="s">
        <v>16</v>
      </c>
      <c r="G17" t="s">
        <v>38</v>
      </c>
      <c r="H17" t="s">
        <v>27</v>
      </c>
      <c r="I17">
        <v>142</v>
      </c>
      <c r="J17" s="3">
        <v>14253525</v>
      </c>
    </row>
    <row r="18" spans="1:10" x14ac:dyDescent="0.3">
      <c r="A18" s="27">
        <v>17</v>
      </c>
      <c r="B18" s="27" t="s">
        <v>47</v>
      </c>
      <c r="C18" s="27" t="s">
        <v>47</v>
      </c>
      <c r="D18" s="2">
        <v>170000000</v>
      </c>
      <c r="E18" s="2">
        <v>213568571</v>
      </c>
      <c r="F18" t="s">
        <v>28</v>
      </c>
      <c r="G18" t="s">
        <v>39</v>
      </c>
      <c r="H18" t="s">
        <v>40</v>
      </c>
      <c r="I18">
        <v>98</v>
      </c>
      <c r="J18" s="3">
        <v>19081634</v>
      </c>
    </row>
    <row r="19" spans="1:10" x14ac:dyDescent="0.3">
      <c r="A19" s="27">
        <v>18</v>
      </c>
      <c r="B19" s="27" t="s">
        <v>47</v>
      </c>
      <c r="C19" s="27" t="s">
        <v>47</v>
      </c>
      <c r="D19" s="2">
        <v>169800000</v>
      </c>
      <c r="E19" s="2">
        <v>207046755</v>
      </c>
      <c r="F19" t="s">
        <v>13</v>
      </c>
      <c r="G19" t="s">
        <v>41</v>
      </c>
      <c r="H19" t="s">
        <v>42</v>
      </c>
      <c r="I19">
        <v>82</v>
      </c>
      <c r="J19" s="3">
        <v>22778052</v>
      </c>
    </row>
    <row r="20" spans="1:10" x14ac:dyDescent="0.3">
      <c r="A20" s="27">
        <v>19</v>
      </c>
      <c r="B20" s="27" t="s">
        <v>47</v>
      </c>
      <c r="C20" s="27" t="s">
        <v>47</v>
      </c>
      <c r="D20" s="2">
        <v>167700000</v>
      </c>
      <c r="E20" s="2">
        <v>204486106</v>
      </c>
      <c r="F20" t="s">
        <v>43</v>
      </c>
      <c r="G20" t="s">
        <v>44</v>
      </c>
      <c r="H20" t="s">
        <v>45</v>
      </c>
      <c r="I20">
        <v>121</v>
      </c>
      <c r="J20" s="3">
        <v>15245450</v>
      </c>
    </row>
    <row r="21" spans="1:10" x14ac:dyDescent="0.3">
      <c r="A21" s="27">
        <v>20</v>
      </c>
      <c r="B21" s="27" t="s">
        <v>47</v>
      </c>
      <c r="C21" s="27" t="s">
        <v>47</v>
      </c>
      <c r="D21" s="2">
        <v>150000000</v>
      </c>
      <c r="E21" s="2">
        <v>185423109</v>
      </c>
      <c r="F21" t="s">
        <v>8</v>
      </c>
      <c r="G21" t="s">
        <v>46</v>
      </c>
      <c r="H21" t="s">
        <v>27</v>
      </c>
      <c r="I21">
        <v>86</v>
      </c>
      <c r="J21" s="3">
        <v>19186046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7F6D-5D97-4459-8A7C-821551678F21}">
  <dimension ref="A1:F19"/>
  <sheetViews>
    <sheetView workbookViewId="0">
      <selection activeCell="D21" sqref="D21"/>
    </sheetView>
  </sheetViews>
  <sheetFormatPr defaultRowHeight="14.4" x14ac:dyDescent="0.3"/>
  <cols>
    <col min="1" max="1" width="17.33203125" customWidth="1"/>
    <col min="2" max="2" width="9.6640625" bestFit="1" customWidth="1"/>
    <col min="3" max="3" width="17.88671875" bestFit="1" customWidth="1"/>
    <col min="4" max="4" width="18.88671875" bestFit="1" customWidth="1"/>
    <col min="5" max="5" width="16.33203125" bestFit="1" customWidth="1"/>
    <col min="6" max="6" width="11.6640625" customWidth="1"/>
  </cols>
  <sheetData>
    <row r="1" spans="1:6" ht="18" x14ac:dyDescent="0.35">
      <c r="A1" s="23" t="s">
        <v>48</v>
      </c>
      <c r="B1" s="23"/>
      <c r="C1" s="23"/>
      <c r="D1" s="23"/>
      <c r="E1" s="23"/>
      <c r="F1" s="23"/>
    </row>
    <row r="2" spans="1:6" x14ac:dyDescent="0.3">
      <c r="A2" s="10" t="s">
        <v>49</v>
      </c>
      <c r="B2" s="10"/>
      <c r="C2" s="10"/>
      <c r="D2" s="10"/>
    </row>
    <row r="4" spans="1:6" ht="18" x14ac:dyDescent="0.35">
      <c r="A4" s="24" t="s">
        <v>50</v>
      </c>
      <c r="B4" s="25"/>
      <c r="C4" s="25"/>
      <c r="D4" s="25"/>
      <c r="E4" s="25"/>
      <c r="F4" s="25"/>
    </row>
    <row r="5" spans="1:6" x14ac:dyDescent="0.3">
      <c r="A5" s="6" t="s">
        <v>51</v>
      </c>
      <c r="B5" s="4">
        <v>20</v>
      </c>
      <c r="C5" s="4"/>
      <c r="D5" s="5" t="s">
        <v>55</v>
      </c>
      <c r="E5" s="9">
        <f>SUM('Cleaned Data'!D2:D21)</f>
        <v>5759018065</v>
      </c>
      <c r="F5" s="4"/>
    </row>
    <row r="6" spans="1:6" x14ac:dyDescent="0.3">
      <c r="A6" s="6" t="s">
        <v>52</v>
      </c>
      <c r="B6" s="4">
        <v>9</v>
      </c>
      <c r="C6" s="4"/>
      <c r="D6" s="5" t="s">
        <v>56</v>
      </c>
      <c r="E6" s="4" t="s">
        <v>57</v>
      </c>
      <c r="F6" s="4"/>
    </row>
    <row r="7" spans="1:6" x14ac:dyDescent="0.3">
      <c r="A7" s="6" t="s">
        <v>53</v>
      </c>
      <c r="B7" s="4" t="s">
        <v>54</v>
      </c>
      <c r="C7" s="4"/>
      <c r="D7" s="5" t="s">
        <v>58</v>
      </c>
      <c r="E7" s="9">
        <f>AVERAGE('Cleaned Data'!D2:D21)</f>
        <v>287950903.25</v>
      </c>
      <c r="F7" s="4"/>
    </row>
    <row r="9" spans="1:6" ht="18" x14ac:dyDescent="0.35">
      <c r="A9" s="24" t="s">
        <v>60</v>
      </c>
      <c r="B9" s="25"/>
      <c r="C9" s="25"/>
    </row>
    <row r="10" spans="1:6" x14ac:dyDescent="0.3">
      <c r="A10" s="11" t="s">
        <v>3</v>
      </c>
      <c r="B10" s="11" t="s">
        <v>61</v>
      </c>
      <c r="C10" s="11" t="s">
        <v>62</v>
      </c>
    </row>
    <row r="11" spans="1:6" x14ac:dyDescent="0.3">
      <c r="A11" s="5" t="s">
        <v>8</v>
      </c>
      <c r="B11" s="5">
        <v>4</v>
      </c>
      <c r="C11" s="7">
        <f>SUMIF('Cleaned Data'!F:F,"Taylor Swift",'Cleaned Data'!D:D)</f>
        <v>1526075146</v>
      </c>
    </row>
    <row r="12" spans="1:6" x14ac:dyDescent="0.3">
      <c r="A12" s="4" t="s">
        <v>11</v>
      </c>
      <c r="B12" s="4">
        <v>3</v>
      </c>
      <c r="C12" s="8">
        <f>SUMIF('Cleaned Data'!F:F,"Beyoncé",'Cleaned Data'!D:D)</f>
        <v>1064984556</v>
      </c>
    </row>
    <row r="13" spans="1:6" x14ac:dyDescent="0.3">
      <c r="A13" s="5" t="s">
        <v>13</v>
      </c>
      <c r="B13" s="5">
        <v>4</v>
      </c>
      <c r="C13" s="7">
        <f>SUMIF('Cleaned Data'!F:F,"Madonna",'Cleaned Data'!D:D)</f>
        <v>1079958363</v>
      </c>
    </row>
    <row r="14" spans="1:6" x14ac:dyDescent="0.3">
      <c r="A14" s="4" t="s">
        <v>16</v>
      </c>
      <c r="B14" s="4">
        <v>3</v>
      </c>
      <c r="C14" s="8">
        <f>SUMIF('Cleaned Data'!F:F,"Pink",'Cleaned Data'!D:D)</f>
        <v>838900000</v>
      </c>
    </row>
    <row r="15" spans="1:6" x14ac:dyDescent="0.3">
      <c r="A15" s="5" t="s">
        <v>28</v>
      </c>
      <c r="B15" s="5">
        <v>2</v>
      </c>
      <c r="C15" s="7">
        <f>SUMIF('Cleaned Data'!F:F,"Lady Gaga",'Cleaned Data'!D:D)</f>
        <v>397400000</v>
      </c>
    </row>
    <row r="16" spans="1:6" x14ac:dyDescent="0.3">
      <c r="A16" s="4" t="s">
        <v>21</v>
      </c>
      <c r="B16" s="4">
        <v>1</v>
      </c>
      <c r="C16" s="8">
        <f>SUMIF('Cleaned Data'!F:F,"Celine Dion",'Cleaned Data'!D:D)</f>
        <v>280000000</v>
      </c>
    </row>
    <row r="17" spans="1:3" x14ac:dyDescent="0.3">
      <c r="A17" s="5" t="s">
        <v>31</v>
      </c>
      <c r="B17" s="5">
        <v>1</v>
      </c>
      <c r="C17" s="7">
        <f>SUMIF('Cleaned Data'!F:F,"Katy Perry",'Cleaned Data'!D:D)</f>
        <v>204000000</v>
      </c>
    </row>
    <row r="18" spans="1:3" x14ac:dyDescent="0.3">
      <c r="A18" s="4" t="s">
        <v>34</v>
      </c>
      <c r="B18" s="4">
        <v>1</v>
      </c>
      <c r="C18" s="8">
        <f>SUMIF('Cleaned Data'!F:F,"Cher",'Cleaned Data'!D:D)</f>
        <v>200000000</v>
      </c>
    </row>
    <row r="19" spans="1:3" x14ac:dyDescent="0.3">
      <c r="A19" s="5" t="s">
        <v>43</v>
      </c>
      <c r="B19" s="5">
        <v>1</v>
      </c>
      <c r="C19" s="7">
        <f>SUMIF('Cleaned Data'!F:F,"Adele",'Cleaned Data'!D:D)</f>
        <v>167700000</v>
      </c>
    </row>
  </sheetData>
  <mergeCells count="3">
    <mergeCell ref="A1:F1"/>
    <mergeCell ref="A4:F4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3A9A-2177-4F77-8545-E0F80AC7B4DC}">
  <dimension ref="A1:D9"/>
  <sheetViews>
    <sheetView topLeftCell="A3" workbookViewId="0">
      <selection activeCell="F8" sqref="F8"/>
    </sheetView>
  </sheetViews>
  <sheetFormatPr defaultRowHeight="14.4" x14ac:dyDescent="0.3"/>
  <cols>
    <col min="1" max="1" width="4.6640625" customWidth="1"/>
    <col min="2" max="2" width="37.33203125" customWidth="1"/>
    <col min="3" max="3" width="55.21875" customWidth="1"/>
    <col min="4" max="4" width="49.88671875" customWidth="1"/>
  </cols>
  <sheetData>
    <row r="1" spans="1:4" ht="18" x14ac:dyDescent="0.35">
      <c r="A1" s="26" t="s">
        <v>63</v>
      </c>
      <c r="B1" s="26"/>
      <c r="C1" s="26"/>
      <c r="D1" s="26"/>
    </row>
    <row r="2" spans="1:4" s="19" customFormat="1" ht="22.05" customHeight="1" x14ac:dyDescent="0.3">
      <c r="A2" s="14" t="s">
        <v>64</v>
      </c>
      <c r="B2" s="14" t="s">
        <v>69</v>
      </c>
      <c r="C2" s="14" t="s">
        <v>70</v>
      </c>
      <c r="D2" s="14" t="s">
        <v>71</v>
      </c>
    </row>
    <row r="3" spans="1:4" s="16" customFormat="1" ht="36" customHeight="1" x14ac:dyDescent="0.3">
      <c r="A3" s="15">
        <v>1</v>
      </c>
      <c r="B3" s="15" t="s">
        <v>67</v>
      </c>
      <c r="C3" s="15" t="s">
        <v>72</v>
      </c>
      <c r="D3" s="15" t="s">
        <v>79</v>
      </c>
    </row>
    <row r="4" spans="1:4" ht="36" customHeight="1" x14ac:dyDescent="0.3">
      <c r="A4" s="18">
        <v>2</v>
      </c>
      <c r="B4" s="18" t="s">
        <v>66</v>
      </c>
      <c r="C4" s="18" t="s">
        <v>73</v>
      </c>
      <c r="D4" s="18" t="s">
        <v>80</v>
      </c>
    </row>
    <row r="5" spans="1:4" s="13" customFormat="1" ht="36" customHeight="1" x14ac:dyDescent="0.3">
      <c r="A5" s="17">
        <v>3</v>
      </c>
      <c r="B5" s="17" t="s">
        <v>59</v>
      </c>
      <c r="C5" s="17" t="s">
        <v>74</v>
      </c>
      <c r="D5" s="17" t="s">
        <v>81</v>
      </c>
    </row>
    <row r="6" spans="1:4" ht="36" customHeight="1" x14ac:dyDescent="0.3">
      <c r="A6" s="18">
        <v>4</v>
      </c>
      <c r="B6" s="18" t="s">
        <v>68</v>
      </c>
      <c r="C6" s="18" t="s">
        <v>75</v>
      </c>
      <c r="D6" s="18" t="s">
        <v>82</v>
      </c>
    </row>
    <row r="7" spans="1:4" ht="36" customHeight="1" x14ac:dyDescent="0.3">
      <c r="A7" s="17">
        <v>5</v>
      </c>
      <c r="B7" s="17" t="s">
        <v>67</v>
      </c>
      <c r="C7" s="17" t="s">
        <v>76</v>
      </c>
      <c r="D7" s="17" t="s">
        <v>83</v>
      </c>
    </row>
    <row r="8" spans="1:4" ht="36" customHeight="1" x14ac:dyDescent="0.3">
      <c r="A8" s="18">
        <v>6</v>
      </c>
      <c r="B8" s="18" t="s">
        <v>0</v>
      </c>
      <c r="C8" s="18" t="s">
        <v>77</v>
      </c>
      <c r="D8" s="18" t="s">
        <v>84</v>
      </c>
    </row>
    <row r="9" spans="1:4" ht="36" customHeight="1" x14ac:dyDescent="0.3">
      <c r="A9" s="17">
        <v>7</v>
      </c>
      <c r="B9" s="17" t="s">
        <v>65</v>
      </c>
      <c r="C9" s="17" t="s">
        <v>78</v>
      </c>
      <c r="D9" s="17" t="s">
        <v>85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Summary Analysis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Haikal Ardiansyah</dc:creator>
  <cp:lastModifiedBy>Mochamad Haikal Ardiansyah</cp:lastModifiedBy>
  <dcterms:created xsi:type="dcterms:W3CDTF">2026-06-16T22:19:51Z</dcterms:created>
  <dcterms:modified xsi:type="dcterms:W3CDTF">2026-06-17T03:58:48Z</dcterms:modified>
</cp:coreProperties>
</file>