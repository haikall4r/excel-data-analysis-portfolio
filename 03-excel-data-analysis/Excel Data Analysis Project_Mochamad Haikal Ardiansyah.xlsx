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ATIHAN EXCEL\"/>
    </mc:Choice>
  </mc:AlternateContent>
  <xr:revisionPtr revIDLastSave="0" documentId="13_ncr:1_{55002FED-8833-4497-A320-1F08CDC5E021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Sales Analysis" sheetId="2" r:id="rId1"/>
    <sheet name="Employee Lookup" sheetId="3" r:id="rId2"/>
    <sheet name="Employee Data" sheetId="4" r:id="rId3"/>
    <sheet name="Sales Pivot Report" sheetId="5" r:id="rId4"/>
    <sheet name="Pivot Summary" sheetId="7" r:id="rId5"/>
  </sheet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7" i="3" l="1"/>
  <c r="D22" i="3"/>
  <c r="D21" i="3"/>
  <c r="D23" i="3"/>
  <c r="D24" i="3"/>
  <c r="D25" i="3"/>
  <c r="D26" i="3"/>
  <c r="D20" i="3"/>
  <c r="F5" i="3"/>
  <c r="F6" i="3"/>
  <c r="F7" i="3"/>
  <c r="F8" i="3"/>
  <c r="F9" i="3"/>
  <c r="F10" i="3"/>
  <c r="F11" i="3"/>
  <c r="F4" i="3"/>
  <c r="E4" i="3"/>
  <c r="E5" i="3"/>
  <c r="E6" i="3"/>
  <c r="E7" i="3"/>
  <c r="E8" i="3"/>
  <c r="E9" i="3"/>
  <c r="E10" i="3"/>
  <c r="E11" i="3"/>
  <c r="I10" i="2"/>
  <c r="I9" i="2"/>
  <c r="I8" i="2"/>
  <c r="I7" i="2"/>
  <c r="I6" i="2"/>
  <c r="F5" i="2"/>
  <c r="F6" i="2"/>
  <c r="F7" i="2"/>
  <c r="F8" i="2"/>
  <c r="F9" i="2"/>
  <c r="F10" i="2"/>
  <c r="F11" i="2"/>
  <c r="F12" i="2"/>
  <c r="F13" i="2"/>
  <c r="F4" i="2"/>
</calcChain>
</file>

<file path=xl/sharedStrings.xml><?xml version="1.0" encoding="utf-8"?>
<sst xmlns="http://schemas.openxmlformats.org/spreadsheetml/2006/main" count="157" uniqueCount="78">
  <si>
    <t>No</t>
  </si>
  <si>
    <t>Nama Produk</t>
  </si>
  <si>
    <t>Kategori</t>
  </si>
  <si>
    <t>Harga Satuan (Rp)</t>
  </si>
  <si>
    <t>Qty</t>
  </si>
  <si>
    <t>Total Harga (Rp)</t>
  </si>
  <si>
    <t>RINGKASAN</t>
  </si>
  <si>
    <t>Kertas HVS A4</t>
  </si>
  <si>
    <t>Alat Tulis</t>
  </si>
  <si>
    <t>Total Semua Penjualan</t>
  </si>
  <si>
    <t>Pulpen Pilot</t>
  </si>
  <si>
    <t>Rata-rata Harga Satuan</t>
  </si>
  <si>
    <t>Map Plastik</t>
  </si>
  <si>
    <t>Harga Satuan Tertinggi</t>
  </si>
  <si>
    <t>Tinta Printer</t>
  </si>
  <si>
    <t>Elektronik</t>
  </si>
  <si>
    <t>Harga Satuan Terendah</t>
  </si>
  <si>
    <t>Flashdisk 16GB</t>
  </si>
  <si>
    <t>Jumlah Item Terjual</t>
  </si>
  <si>
    <t>Buku Nota</t>
  </si>
  <si>
    <t>Kalkulator</t>
  </si>
  <si>
    <t>Stapler</t>
  </si>
  <si>
    <t>Spidol Whiteboard</t>
  </si>
  <si>
    <t>Mouse USB</t>
  </si>
  <si>
    <t>Nama Karyawan</t>
  </si>
  <si>
    <t>Nilai Tes</t>
  </si>
  <si>
    <t>Keterangan</t>
  </si>
  <si>
    <t>Tunjangan (Rp)</t>
  </si>
  <si>
    <t>Andi Pratama</t>
  </si>
  <si>
    <t>Budi Santoso</t>
  </si>
  <si>
    <t>Citra Dewi</t>
  </si>
  <si>
    <t>Deni Firmansyah</t>
  </si>
  <si>
    <t>Eka Putri</t>
  </si>
  <si>
    <t>Fajar Nugroho</t>
  </si>
  <si>
    <t>Gita Rahayu</t>
  </si>
  <si>
    <t>Hendra Saputra</t>
  </si>
  <si>
    <t>BAGIAN B: Fungsi VLOOKUP</t>
  </si>
  <si>
    <t>Kode Barang</t>
  </si>
  <si>
    <t>Nama Barang</t>
  </si>
  <si>
    <t>TABEL MASTER BARANG</t>
  </si>
  <si>
    <t>B001</t>
  </si>
  <si>
    <t>Kode</t>
  </si>
  <si>
    <t>Harga (Rp)</t>
  </si>
  <si>
    <t>B003</t>
  </si>
  <si>
    <t>B005</t>
  </si>
  <si>
    <t>B002</t>
  </si>
  <si>
    <t>B004</t>
  </si>
  <si>
    <t>Nama Lengkap</t>
  </si>
  <si>
    <t>Departemen</t>
  </si>
  <si>
    <t>Gaji Pokok (Rp)</t>
  </si>
  <si>
    <t>Status</t>
  </si>
  <si>
    <t>Rini Marlina</t>
  </si>
  <si>
    <t>Keuangan</t>
  </si>
  <si>
    <t>Tetap</t>
  </si>
  <si>
    <t>Sandi Wijaya</t>
  </si>
  <si>
    <t>Operasional</t>
  </si>
  <si>
    <t>Kontrak</t>
  </si>
  <si>
    <t>Tuti Lestari</t>
  </si>
  <si>
    <t>Umar Hakim</t>
  </si>
  <si>
    <t>HRD</t>
  </si>
  <si>
    <t>Vina Puspita</t>
  </si>
  <si>
    <t>Wahyu Saputra</t>
  </si>
  <si>
    <t>Xena Novita</t>
  </si>
  <si>
    <t>Yogi Pratama</t>
  </si>
  <si>
    <t>DATA PENJUALAN
Gunakan tabel ini sebagai sumber PivotTable</t>
  </si>
  <si>
    <t>Bulan</t>
  </si>
  <si>
    <t>Qty Terjual</t>
  </si>
  <si>
    <t>Total Penjualan (Rp)</t>
  </si>
  <si>
    <t>Januari</t>
  </si>
  <si>
    <t>Februari</t>
  </si>
  <si>
    <t>Maret</t>
  </si>
  <si>
    <t>Fungsi IF</t>
  </si>
  <si>
    <t>DATA KARYAWAN PERUSAHAAN</t>
  </si>
  <si>
    <t>Row Labels</t>
  </si>
  <si>
    <t>Grand Total</t>
  </si>
  <si>
    <t>Column Labels</t>
  </si>
  <si>
    <t>Sum of Total Penjualan (Rp)</t>
  </si>
  <si>
    <t>Rekap Penjualan per Kategori &amp;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</si>
</sst>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.00"/>
    <numFmt numFmtId="166" formatCode="_-[$Rp-3809]* #,##0.00_-;\-[$Rp-3809]* #,##0.00_-;_-[$Rp-3809]* &quot;-&quot;??_-;_-@_-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</font>
    <font>
      <sz val="11"/>
      <color theme="1"/>
      <name val="Calibri"/>
    </font>
    <font>
      <sz val="11"/>
      <color theme="1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F2F9EE"/>
        <bgColor rgb="FFF2F9EE"/>
      </patternFill>
    </fill>
    <fill>
      <patternFill patternType="solid">
        <fgColor rgb="FFC55A11"/>
        <bgColor rgb="FFC55A11"/>
      </patternFill>
    </fill>
    <fill>
      <patternFill patternType="solid">
        <fgColor rgb="FFFDF2EB"/>
        <bgColor rgb="FFFDF2EB"/>
      </patternFill>
    </fill>
    <fill>
      <patternFill patternType="solid">
        <fgColor rgb="FF595959"/>
        <bgColor rgb="FF595959"/>
      </patternFill>
    </fill>
    <fill>
      <patternFill patternType="solid">
        <fgColor rgb="FF808080"/>
        <bgColor rgb="FF808080"/>
      </patternFill>
    </fill>
    <fill>
      <patternFill patternType="solid">
        <fgColor rgb="FFF5F5F5"/>
        <bgColor rgb="FFF5F5F5"/>
      </patternFill>
    </fill>
    <fill>
      <patternFill patternType="solid">
        <fgColor rgb="FF7030A0"/>
        <bgColor rgb="FF7030A0"/>
      </patternFill>
    </fill>
    <fill>
      <patternFill patternType="solid">
        <fgColor rgb="FFF5F0FF"/>
        <bgColor rgb="FFF5F0FF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rgb="FFF5F0FF"/>
      </patternFill>
    </fill>
    <fill>
      <patternFill patternType="solid">
        <fgColor theme="9"/>
        <bgColor rgb="FFFFFFFF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1F4E79"/>
      </top>
      <bottom style="thin">
        <color rgb="FF1F4E79"/>
      </bottom>
      <diagonal/>
    </border>
    <border>
      <left/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1F4E79"/>
      </left>
      <right/>
      <top style="thin">
        <color rgb="FF1F4E79"/>
      </top>
      <bottom style="thin">
        <color rgb="FF1F4E79"/>
      </bottom>
      <diagonal/>
    </border>
    <border>
      <left/>
      <right/>
      <top/>
      <bottom style="thin">
        <color rgb="FF1F4E79"/>
      </bottom>
      <diagonal/>
    </border>
  </borders>
  <cellStyleXfs count="1">
    <xf numFmtId="0" fontId="0" fillId="0" borderId="0"/>
  </cellStyleXfs>
  <cellXfs count="52">
    <xf numFmtId="0" fontId="0" fillId="0" borderId="0" xfId="0" applyAlignment="1"/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3" fontId="2" fillId="6" borderId="1" xfId="0" applyNumberFormat="1" applyFont="1" applyFill="1" applyBorder="1" applyAlignment="1">
      <alignment horizontal="right" vertical="center"/>
    </xf>
    <xf numFmtId="3" fontId="3" fillId="5" borderId="4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3" fillId="5" borderId="4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3" fontId="2" fillId="11" borderId="1" xfId="0" applyNumberFormat="1" applyFont="1" applyFill="1" applyBorder="1" applyAlignment="1">
      <alignment horizontal="right" vertical="center"/>
    </xf>
    <xf numFmtId="0" fontId="5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164" fontId="4" fillId="8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horizontal="right" vertical="center"/>
    </xf>
    <xf numFmtId="0" fontId="0" fillId="0" borderId="0" xfId="0"/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/>
    <xf numFmtId="0" fontId="5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14" borderId="7" xfId="0" applyFill="1" applyBorder="1" applyAlignment="1">
      <alignment horizontal="center"/>
    </xf>
    <xf numFmtId="0" fontId="7" fillId="14" borderId="7" xfId="0" applyFont="1" applyFill="1" applyBorder="1" applyAlignment="1">
      <alignment horizontal="center"/>
    </xf>
    <xf numFmtId="166" fontId="2" fillId="13" borderId="1" xfId="0" applyNumberFormat="1" applyFont="1" applyFill="1" applyBorder="1" applyAlignment="1">
      <alignment horizontal="right" vertical="center"/>
    </xf>
    <xf numFmtId="166" fontId="2" fillId="3" borderId="1" xfId="0" applyNumberFormat="1" applyFont="1" applyFill="1" applyBorder="1" applyAlignment="1">
      <alignment horizontal="right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0" fillId="0" borderId="0" xfId="0" pivotButton="1" applyAlignment="1"/>
    <xf numFmtId="0" fontId="0" fillId="0" borderId="0" xfId="0" applyAlignment="1">
      <alignment horizontal="left"/>
    </xf>
    <xf numFmtId="0" fontId="0" fillId="0" borderId="0" xfId="0" applyNumberFormat="1" applyAlignment="1"/>
    <xf numFmtId="0" fontId="1" fillId="1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 10" refreshedDate="46275.874597106478" createdVersion="8" refreshedVersion="8" minRefreshableVersion="3" recordCount="12" xr:uid="{F5F836BB-EE8A-4C69-8FA0-7CFDA45D07D2}">
  <cacheSource type="worksheet">
    <worksheetSource ref="B6:G18" sheet="Sales Pivot Report"/>
  </cacheSource>
  <cacheFields count="6">
    <cacheField name="No" numFmtId="0">
      <sharedItems containsSemiMixedTypes="0" containsString="0" containsNumber="1" containsInteger="1" minValue="1" maxValue="12"/>
    </cacheField>
    <cacheField name="Nama Produk" numFmtId="0">
      <sharedItems/>
    </cacheField>
    <cacheField name="Kategori" numFmtId="0">
      <sharedItems count="2">
        <s v="Alat Tulis"/>
        <s v="Elektronik"/>
      </sharedItems>
    </cacheField>
    <cacheField name="Bulan" numFmtId="0">
      <sharedItems count="3">
        <s v="Januari"/>
        <s v="Februari"/>
        <s v="Maret"/>
      </sharedItems>
    </cacheField>
    <cacheField name="Qty Terjual" numFmtId="0">
      <sharedItems containsSemiMixedTypes="0" containsString="0" containsNumber="1" containsInteger="1" minValue="7" maxValue="110"/>
    </cacheField>
    <cacheField name="Total Penjualan (Rp)" numFmtId="164">
      <sharedItems containsSemiMixedTypes="0" containsString="0" containsNumber="1" containsInteger="1" minValue="770000" maxValue="36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s v="Kertas HVS A4"/>
    <x v="0"/>
    <x v="0"/>
    <n v="55"/>
    <n v="2860000"/>
  </r>
  <r>
    <n v="2"/>
    <s v="Tinta Printer"/>
    <x v="1"/>
    <x v="0"/>
    <n v="12"/>
    <n v="1320000"/>
  </r>
  <r>
    <n v="3"/>
    <s v="Pulpen Pilot"/>
    <x v="0"/>
    <x v="0"/>
    <n v="90"/>
    <n v="855000"/>
  </r>
  <r>
    <n v="4"/>
    <s v="Mouse USB"/>
    <x v="1"/>
    <x v="0"/>
    <n v="14"/>
    <n v="1288000"/>
  </r>
  <r>
    <n v="5"/>
    <s v="Kertas HVS A4"/>
    <x v="0"/>
    <x v="1"/>
    <n v="70"/>
    <n v="3640000"/>
  </r>
  <r>
    <n v="6"/>
    <s v="Tinta Printer"/>
    <x v="1"/>
    <x v="1"/>
    <n v="9"/>
    <n v="990000"/>
  </r>
  <r>
    <n v="7"/>
    <s v="Pulpen Pilot"/>
    <x v="0"/>
    <x v="1"/>
    <n v="110"/>
    <n v="1045000"/>
  </r>
  <r>
    <n v="8"/>
    <s v="Mouse USB"/>
    <x v="1"/>
    <x v="1"/>
    <n v="17"/>
    <n v="1564000"/>
  </r>
  <r>
    <n v="9"/>
    <s v="Kertas HVS A4"/>
    <x v="0"/>
    <x v="2"/>
    <n v="50"/>
    <n v="2600000"/>
  </r>
  <r>
    <n v="10"/>
    <s v="Tinta Printer"/>
    <x v="1"/>
    <x v="2"/>
    <n v="7"/>
    <n v="770000"/>
  </r>
  <r>
    <n v="11"/>
    <s v="Pulpen Pilot"/>
    <x v="0"/>
    <x v="2"/>
    <n v="95"/>
    <n v="902500"/>
  </r>
  <r>
    <n v="12"/>
    <s v="Mouse USB"/>
    <x v="1"/>
    <x v="2"/>
    <n v="22"/>
    <n v="202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C0282-F8E2-4852-AC0C-3D6B27EE061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6">
    <pivotField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dataField="1" numFmtId="164"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Total Penjualan (Rp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Y1000"/>
  <sheetViews>
    <sheetView zoomScale="60" zoomScaleNormal="60" workbookViewId="0">
      <selection activeCell="B18" sqref="B18"/>
    </sheetView>
  </sheetViews>
  <sheetFormatPr defaultColWidth="14.44140625" defaultRowHeight="15" customHeight="1" x14ac:dyDescent="0.3"/>
  <cols>
    <col min="1" max="1" width="5.109375" style="32" customWidth="1"/>
    <col min="2" max="2" width="17.5546875" style="32" bestFit="1" customWidth="1"/>
    <col min="3" max="3" width="22" style="32" customWidth="1"/>
    <col min="4" max="4" width="19.33203125" style="32" bestFit="1" customWidth="1"/>
    <col min="5" max="5" width="19.44140625" style="32" customWidth="1"/>
    <col min="6" max="6" width="19.5546875" style="32" customWidth="1"/>
    <col min="7" max="7" width="18" style="32" customWidth="1"/>
    <col min="8" max="8" width="22.88671875" style="32" bestFit="1" customWidth="1"/>
    <col min="9" max="9" width="26" style="32" customWidth="1"/>
    <col min="10" max="10" width="27.33203125" style="32" customWidth="1"/>
    <col min="11" max="25" width="8.6640625" style="32" customWidth="1"/>
  </cols>
  <sheetData>
    <row r="1" spans="1:25" ht="14.4" x14ac:dyDescent="0.3"/>
    <row r="2" spans="1:25" ht="14.4" x14ac:dyDescent="0.3"/>
    <row r="3" spans="1:25" ht="14.4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25" ht="14.4" x14ac:dyDescent="0.3">
      <c r="A4" s="3">
        <v>1</v>
      </c>
      <c r="B4" s="4" t="s">
        <v>7</v>
      </c>
      <c r="C4" s="4" t="s">
        <v>8</v>
      </c>
      <c r="D4" s="5">
        <v>52000</v>
      </c>
      <c r="E4" s="3">
        <v>12</v>
      </c>
      <c r="F4" s="6">
        <f>E4*D4</f>
        <v>624000</v>
      </c>
    </row>
    <row r="5" spans="1:25" ht="25.5" customHeight="1" x14ac:dyDescent="0.3">
      <c r="A5" s="8">
        <v>2</v>
      </c>
      <c r="B5" s="9" t="s">
        <v>10</v>
      </c>
      <c r="C5" s="9" t="s">
        <v>8</v>
      </c>
      <c r="D5" s="10">
        <v>9500</v>
      </c>
      <c r="E5" s="8">
        <v>30</v>
      </c>
      <c r="F5" s="6">
        <f t="shared" ref="F5:F13" si="0">E5*D5</f>
        <v>285000</v>
      </c>
      <c r="H5" s="33" t="s">
        <v>6</v>
      </c>
      <c r="I5" s="34"/>
    </row>
    <row r="6" spans="1:25" ht="21.75" customHeight="1" x14ac:dyDescent="0.3">
      <c r="A6" s="3">
        <v>3</v>
      </c>
      <c r="B6" s="4" t="s">
        <v>12</v>
      </c>
      <c r="C6" s="4" t="s">
        <v>8</v>
      </c>
      <c r="D6" s="5">
        <v>14000</v>
      </c>
      <c r="E6" s="3">
        <v>18</v>
      </c>
      <c r="F6" s="6">
        <f t="shared" si="0"/>
        <v>252000</v>
      </c>
      <c r="H6" s="7" t="s">
        <v>9</v>
      </c>
      <c r="I6" s="6">
        <f>SUM(F4:F13)</f>
        <v>5224000</v>
      </c>
    </row>
    <row r="7" spans="1:25" ht="21.75" customHeight="1" x14ac:dyDescent="0.3">
      <c r="A7" s="8">
        <v>4</v>
      </c>
      <c r="B7" s="9" t="s">
        <v>14</v>
      </c>
      <c r="C7" s="9" t="s">
        <v>15</v>
      </c>
      <c r="D7" s="10">
        <v>110000</v>
      </c>
      <c r="E7" s="8">
        <v>6</v>
      </c>
      <c r="F7" s="6">
        <f t="shared" si="0"/>
        <v>660000</v>
      </c>
      <c r="H7" s="7" t="s">
        <v>11</v>
      </c>
      <c r="I7" s="6">
        <f>AVERAGE(D4:D13)</f>
        <v>58250</v>
      </c>
    </row>
    <row r="8" spans="1:25" ht="21.75" customHeight="1" x14ac:dyDescent="0.3">
      <c r="A8" s="3">
        <v>5</v>
      </c>
      <c r="B8" s="4" t="s">
        <v>17</v>
      </c>
      <c r="C8" s="4" t="s">
        <v>15</v>
      </c>
      <c r="D8" s="5">
        <v>82000</v>
      </c>
      <c r="E8" s="3">
        <v>10</v>
      </c>
      <c r="F8" s="6">
        <f t="shared" si="0"/>
        <v>820000</v>
      </c>
      <c r="H8" s="7" t="s">
        <v>13</v>
      </c>
      <c r="I8" s="6">
        <f>MAX(D4:D13)</f>
        <v>135000</v>
      </c>
    </row>
    <row r="9" spans="1:25" ht="21.75" customHeight="1" x14ac:dyDescent="0.3">
      <c r="A9" s="8">
        <v>6</v>
      </c>
      <c r="B9" s="9" t="s">
        <v>19</v>
      </c>
      <c r="C9" s="9" t="s">
        <v>8</v>
      </c>
      <c r="D9" s="10">
        <v>21000</v>
      </c>
      <c r="E9" s="8">
        <v>24</v>
      </c>
      <c r="F9" s="6">
        <f t="shared" si="0"/>
        <v>504000</v>
      </c>
      <c r="H9" s="7" t="s">
        <v>16</v>
      </c>
      <c r="I9" s="6">
        <f>MIN(D4:D13)</f>
        <v>9500</v>
      </c>
    </row>
    <row r="10" spans="1:25" ht="21.75" customHeight="1" x14ac:dyDescent="0.3">
      <c r="A10" s="3">
        <v>7</v>
      </c>
      <c r="B10" s="4" t="s">
        <v>20</v>
      </c>
      <c r="C10" s="4" t="s">
        <v>15</v>
      </c>
      <c r="D10" s="5">
        <v>135000</v>
      </c>
      <c r="E10" s="3">
        <v>4</v>
      </c>
      <c r="F10" s="6">
        <f t="shared" si="0"/>
        <v>540000</v>
      </c>
      <c r="H10" s="7" t="s">
        <v>18</v>
      </c>
      <c r="I10" s="6">
        <f>SUM(E4:E13)</f>
        <v>136</v>
      </c>
    </row>
    <row r="11" spans="1:25" ht="19.5" customHeight="1" x14ac:dyDescent="0.3">
      <c r="A11" s="8">
        <v>8</v>
      </c>
      <c r="B11" s="9" t="s">
        <v>21</v>
      </c>
      <c r="C11" s="9" t="s">
        <v>8</v>
      </c>
      <c r="D11" s="10">
        <v>42000</v>
      </c>
      <c r="E11" s="8">
        <v>8</v>
      </c>
      <c r="F11" s="6">
        <f t="shared" si="0"/>
        <v>336000</v>
      </c>
    </row>
    <row r="12" spans="1:25" ht="79.5" customHeight="1" x14ac:dyDescent="0.3">
      <c r="A12" s="3">
        <v>9</v>
      </c>
      <c r="B12" s="4" t="s">
        <v>22</v>
      </c>
      <c r="C12" s="4" t="s">
        <v>8</v>
      </c>
      <c r="D12" s="5">
        <v>25000</v>
      </c>
      <c r="E12" s="3">
        <v>15</v>
      </c>
      <c r="F12" s="6">
        <f t="shared" si="0"/>
        <v>375000</v>
      </c>
      <c r="X12"/>
      <c r="Y12"/>
    </row>
    <row r="13" spans="1:25" ht="19.5" customHeight="1" x14ac:dyDescent="0.3">
      <c r="A13" s="8">
        <v>10</v>
      </c>
      <c r="B13" s="9" t="s">
        <v>23</v>
      </c>
      <c r="C13" s="9" t="s">
        <v>15</v>
      </c>
      <c r="D13" s="10">
        <v>92000</v>
      </c>
      <c r="E13" s="8">
        <v>9</v>
      </c>
      <c r="F13" s="6">
        <f t="shared" si="0"/>
        <v>828000</v>
      </c>
    </row>
    <row r="14" spans="1:25" ht="19.5" customHeight="1" x14ac:dyDescent="0.3">
      <c r="I14" s="37"/>
      <c r="J14" s="37"/>
    </row>
    <row r="15" spans="1:25" ht="19.5" customHeight="1" x14ac:dyDescent="0.3"/>
    <row r="16" spans="1:25" ht="14.4" x14ac:dyDescent="0.3"/>
    <row r="17" ht="21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I14:J14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5A11"/>
  </sheetPr>
  <dimension ref="A1:Z999"/>
  <sheetViews>
    <sheetView topLeftCell="A11" zoomScale="80" zoomScaleNormal="80" workbookViewId="0">
      <selection activeCell="O16" sqref="O16"/>
    </sheetView>
  </sheetViews>
  <sheetFormatPr defaultColWidth="14.44140625" defaultRowHeight="15" customHeight="1" x14ac:dyDescent="0.3"/>
  <cols>
    <col min="1" max="1" width="4" style="32" customWidth="1"/>
    <col min="2" max="2" width="6" style="32" customWidth="1"/>
    <col min="3" max="3" width="22" style="32" customWidth="1"/>
    <col min="4" max="4" width="16.44140625" style="32" customWidth="1"/>
    <col min="5" max="5" width="19.44140625" style="32" customWidth="1"/>
    <col min="6" max="6" width="17.5546875" style="32" customWidth="1"/>
    <col min="7" max="7" width="20" style="32" customWidth="1"/>
    <col min="8" max="8" width="4" style="32" customWidth="1"/>
    <col min="9" max="9" width="22" style="32" customWidth="1"/>
    <col min="10" max="10" width="16.5546875" style="32" customWidth="1"/>
    <col min="11" max="11" width="18" style="32" customWidth="1"/>
    <col min="12" max="26" width="8.6640625" style="32" customWidth="1"/>
  </cols>
  <sheetData>
    <row r="1" spans="2:7" ht="14.4" x14ac:dyDescent="0.3"/>
    <row r="2" spans="2:7" ht="14.4" x14ac:dyDescent="0.3">
      <c r="B2" s="39" t="s">
        <v>71</v>
      </c>
      <c r="C2" s="40"/>
      <c r="D2" s="40"/>
      <c r="E2" s="40"/>
      <c r="F2" s="40"/>
      <c r="G2" s="40"/>
    </row>
    <row r="3" spans="2:7" ht="14.4" x14ac:dyDescent="0.3">
      <c r="B3" s="11" t="s">
        <v>0</v>
      </c>
      <c r="C3" s="11" t="s">
        <v>24</v>
      </c>
      <c r="D3" s="11" t="s">
        <v>25</v>
      </c>
      <c r="E3" s="11" t="s">
        <v>26</v>
      </c>
      <c r="F3" s="11" t="s">
        <v>27</v>
      </c>
    </row>
    <row r="4" spans="2:7" ht="14.4" x14ac:dyDescent="0.3">
      <c r="B4" s="12">
        <v>1</v>
      </c>
      <c r="C4" s="13" t="s">
        <v>28</v>
      </c>
      <c r="D4" s="12">
        <v>88</v>
      </c>
      <c r="E4" s="14" t="str">
        <f>IF(D4&gt;=75,"LULUS","TIDAK LULUS")</f>
        <v>LULUS</v>
      </c>
      <c r="F4" s="6">
        <f>IF(D4&gt;=85,500000,IF(D4&gt;=70,300000,0))</f>
        <v>500000</v>
      </c>
    </row>
    <row r="5" spans="2:7" ht="14.4" x14ac:dyDescent="0.3">
      <c r="B5" s="8">
        <v>2</v>
      </c>
      <c r="C5" s="9" t="s">
        <v>29</v>
      </c>
      <c r="D5" s="8">
        <v>67</v>
      </c>
      <c r="E5" s="14" t="str">
        <f t="shared" ref="E5:E11" si="0">IF(D5&gt;=75,"LULUS","TIDAK LULUS")</f>
        <v>TIDAK LULUS</v>
      </c>
      <c r="F5" s="6">
        <f t="shared" ref="F5:F11" si="1">IF(D5&gt;=85,500000,IF(D5&gt;=70,300000,0))</f>
        <v>0</v>
      </c>
    </row>
    <row r="6" spans="2:7" ht="24" customHeight="1" x14ac:dyDescent="0.3">
      <c r="B6" s="12">
        <v>3</v>
      </c>
      <c r="C6" s="13" t="s">
        <v>30</v>
      </c>
      <c r="D6" s="12">
        <v>74</v>
      </c>
      <c r="E6" s="14" t="str">
        <f t="shared" si="0"/>
        <v>TIDAK LULUS</v>
      </c>
      <c r="F6" s="6">
        <f t="shared" si="1"/>
        <v>300000</v>
      </c>
    </row>
    <row r="7" spans="2:7" ht="19.5" customHeight="1" x14ac:dyDescent="0.3">
      <c r="B7" s="8">
        <v>4</v>
      </c>
      <c r="C7" s="9" t="s">
        <v>31</v>
      </c>
      <c r="D7" s="8">
        <v>59</v>
      </c>
      <c r="E7" s="14" t="str">
        <f t="shared" si="0"/>
        <v>TIDAK LULUS</v>
      </c>
      <c r="F7" s="6">
        <f t="shared" si="1"/>
        <v>0</v>
      </c>
    </row>
    <row r="8" spans="2:7" ht="19.5" customHeight="1" x14ac:dyDescent="0.3">
      <c r="B8" s="12">
        <v>5</v>
      </c>
      <c r="C8" s="13" t="s">
        <v>32</v>
      </c>
      <c r="D8" s="12">
        <v>94</v>
      </c>
      <c r="E8" s="14" t="str">
        <f t="shared" si="0"/>
        <v>LULUS</v>
      </c>
      <c r="F8" s="6">
        <f t="shared" si="1"/>
        <v>500000</v>
      </c>
    </row>
    <row r="9" spans="2:7" ht="19.5" customHeight="1" x14ac:dyDescent="0.3">
      <c r="B9" s="8">
        <v>6</v>
      </c>
      <c r="C9" s="9" t="s">
        <v>33</v>
      </c>
      <c r="D9" s="8">
        <v>72</v>
      </c>
      <c r="E9" s="14" t="str">
        <f t="shared" si="0"/>
        <v>TIDAK LULUS</v>
      </c>
      <c r="F9" s="6">
        <f t="shared" si="1"/>
        <v>300000</v>
      </c>
    </row>
    <row r="10" spans="2:7" ht="19.5" customHeight="1" x14ac:dyDescent="0.3">
      <c r="B10" s="12">
        <v>7</v>
      </c>
      <c r="C10" s="13" t="s">
        <v>34</v>
      </c>
      <c r="D10" s="12">
        <v>51</v>
      </c>
      <c r="E10" s="14" t="str">
        <f t="shared" si="0"/>
        <v>TIDAK LULUS</v>
      </c>
      <c r="F10" s="6">
        <f t="shared" si="1"/>
        <v>0</v>
      </c>
    </row>
    <row r="11" spans="2:7" ht="19.5" customHeight="1" x14ac:dyDescent="0.3">
      <c r="B11" s="8">
        <v>8</v>
      </c>
      <c r="C11" s="9" t="s">
        <v>35</v>
      </c>
      <c r="D11" s="8">
        <v>81</v>
      </c>
      <c r="E11" s="14" t="str">
        <f t="shared" si="0"/>
        <v>LULUS</v>
      </c>
      <c r="F11" s="6">
        <f t="shared" si="1"/>
        <v>300000</v>
      </c>
    </row>
    <row r="12" spans="2:7" ht="19.5" customHeight="1" x14ac:dyDescent="0.3"/>
    <row r="13" spans="2:7" ht="19.5" customHeight="1" x14ac:dyDescent="0.3"/>
    <row r="14" spans="2:7" ht="19.5" customHeight="1" x14ac:dyDescent="0.3"/>
    <row r="15" spans="2:7" ht="14.4" x14ac:dyDescent="0.3"/>
    <row r="16" spans="2:7" ht="49.5" customHeight="1" x14ac:dyDescent="0.3"/>
    <row r="17" spans="2:11" ht="14.4" x14ac:dyDescent="0.3"/>
    <row r="18" spans="2:11" ht="14.4" x14ac:dyDescent="0.3">
      <c r="B18" s="36" t="s">
        <v>36</v>
      </c>
      <c r="C18" s="41"/>
      <c r="D18" s="41"/>
      <c r="E18" s="41"/>
      <c r="F18" s="41"/>
      <c r="G18" s="41"/>
    </row>
    <row r="19" spans="2:11" ht="24" customHeight="1" x14ac:dyDescent="0.3">
      <c r="B19" s="15" t="s">
        <v>0</v>
      </c>
      <c r="C19" s="15" t="s">
        <v>37</v>
      </c>
      <c r="D19" s="15" t="s">
        <v>38</v>
      </c>
      <c r="E19" s="15" t="s">
        <v>3</v>
      </c>
      <c r="I19" s="38" t="s">
        <v>39</v>
      </c>
      <c r="J19" s="35"/>
      <c r="K19" s="35"/>
    </row>
    <row r="20" spans="2:11" ht="19.5" customHeight="1" x14ac:dyDescent="0.3">
      <c r="B20" s="16">
        <v>1</v>
      </c>
      <c r="C20" s="16" t="s">
        <v>40</v>
      </c>
      <c r="D20" s="17" t="str">
        <f>VLOOKUP(C20,$I$20:$K$24,2,FALSE)</f>
        <v>Kertas HVS A4</v>
      </c>
      <c r="E20" s="6"/>
      <c r="I20" s="18" t="s">
        <v>41</v>
      </c>
      <c r="J20" s="18" t="s">
        <v>38</v>
      </c>
      <c r="K20" s="18" t="s">
        <v>42</v>
      </c>
    </row>
    <row r="21" spans="2:11" ht="19.5" customHeight="1" x14ac:dyDescent="0.3">
      <c r="B21" s="8">
        <v>2</v>
      </c>
      <c r="C21" s="8" t="s">
        <v>43</v>
      </c>
      <c r="D21" s="17" t="str">
        <f t="shared" ref="D21:D27" si="2">VLOOKUP(C21,$I$20:$K$24,2,FALSE)</f>
        <v>Tinta Printer</v>
      </c>
      <c r="E21" s="6"/>
      <c r="I21" s="19" t="s">
        <v>40</v>
      </c>
      <c r="J21" s="20" t="s">
        <v>7</v>
      </c>
      <c r="K21" s="21">
        <v>52000</v>
      </c>
    </row>
    <row r="22" spans="2:11" ht="19.5" customHeight="1" x14ac:dyDescent="0.3">
      <c r="B22" s="16">
        <v>3</v>
      </c>
      <c r="C22" s="16" t="s">
        <v>44</v>
      </c>
      <c r="D22" s="17" t="str">
        <f>VLOOKUP(C22,$I$20:$K$25,2,FALSE)</f>
        <v>Mouse USB</v>
      </c>
      <c r="E22" s="6"/>
      <c r="I22" s="8" t="s">
        <v>45</v>
      </c>
      <c r="J22" s="9" t="s">
        <v>10</v>
      </c>
      <c r="K22" s="10">
        <v>9500</v>
      </c>
    </row>
    <row r="23" spans="2:11" ht="19.5" customHeight="1" x14ac:dyDescent="0.3">
      <c r="B23" s="8">
        <v>4</v>
      </c>
      <c r="C23" s="8" t="s">
        <v>45</v>
      </c>
      <c r="D23" s="17" t="str">
        <f t="shared" si="2"/>
        <v>Pulpen Pilot</v>
      </c>
      <c r="E23" s="6"/>
      <c r="I23" s="19" t="s">
        <v>43</v>
      </c>
      <c r="J23" s="20" t="s">
        <v>14</v>
      </c>
      <c r="K23" s="21">
        <v>110000</v>
      </c>
    </row>
    <row r="24" spans="2:11" ht="19.5" customHeight="1" x14ac:dyDescent="0.3">
      <c r="B24" s="16">
        <v>5</v>
      </c>
      <c r="C24" s="16" t="s">
        <v>46</v>
      </c>
      <c r="D24" s="17" t="str">
        <f t="shared" si="2"/>
        <v>Flashdisk 16GB</v>
      </c>
      <c r="E24" s="6"/>
      <c r="I24" s="8" t="s">
        <v>46</v>
      </c>
      <c r="J24" s="9" t="s">
        <v>17</v>
      </c>
      <c r="K24" s="10">
        <v>82000</v>
      </c>
    </row>
    <row r="25" spans="2:11" ht="19.5" customHeight="1" x14ac:dyDescent="0.3">
      <c r="B25" s="8">
        <v>6</v>
      </c>
      <c r="C25" s="8" t="s">
        <v>40</v>
      </c>
      <c r="D25" s="17" t="str">
        <f t="shared" si="2"/>
        <v>Kertas HVS A4</v>
      </c>
      <c r="E25" s="6"/>
      <c r="I25" s="19" t="s">
        <v>44</v>
      </c>
      <c r="J25" s="20" t="s">
        <v>23</v>
      </c>
      <c r="K25" s="21">
        <v>92000</v>
      </c>
    </row>
    <row r="26" spans="2:11" ht="19.5" customHeight="1" x14ac:dyDescent="0.3">
      <c r="B26" s="16">
        <v>7</v>
      </c>
      <c r="C26" s="16" t="s">
        <v>43</v>
      </c>
      <c r="D26" s="17" t="str">
        <f t="shared" si="2"/>
        <v>Tinta Printer</v>
      </c>
      <c r="E26" s="6"/>
    </row>
    <row r="27" spans="2:11" ht="19.5" customHeight="1" x14ac:dyDescent="0.3">
      <c r="B27" s="8">
        <v>8</v>
      </c>
      <c r="C27" s="8" t="s">
        <v>44</v>
      </c>
      <c r="D27" s="17" t="str">
        <f>VLOOKUP(C27,$I$20:$K$25,2,FALSE)</f>
        <v>Mouse USB</v>
      </c>
      <c r="E27" s="6"/>
    </row>
    <row r="28" spans="2:11" ht="15.75" customHeight="1" x14ac:dyDescent="0.3"/>
    <row r="29" spans="2:11" ht="45" customHeight="1" x14ac:dyDescent="0.3"/>
    <row r="30" spans="2:11" ht="15.75" customHeight="1" x14ac:dyDescent="0.3"/>
    <row r="31" spans="2:11" ht="15.75" customHeight="1" x14ac:dyDescent="0.3"/>
    <row r="32" spans="2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3">
    <mergeCell ref="B18:G18"/>
    <mergeCell ref="B2:G2"/>
    <mergeCell ref="I19:K19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Z999"/>
  <sheetViews>
    <sheetView workbookViewId="0">
      <pane ySplit="5" topLeftCell="A6" activePane="bottomLeft" state="frozen"/>
      <selection pane="bottomLeft" activeCell="K11" sqref="K11"/>
    </sheetView>
  </sheetViews>
  <sheetFormatPr defaultColWidth="14.44140625" defaultRowHeight="15" customHeight="1" x14ac:dyDescent="0.3"/>
  <cols>
    <col min="1" max="1" width="4" style="32" customWidth="1"/>
    <col min="2" max="2" width="6" style="32" customWidth="1"/>
    <col min="3" max="3" width="15.5546875" style="32" bestFit="1" customWidth="1"/>
    <col min="4" max="4" width="13.109375" style="32" bestFit="1" customWidth="1"/>
    <col min="5" max="5" width="16.6640625" style="32" bestFit="1" customWidth="1"/>
    <col min="6" max="6" width="16" style="32" customWidth="1"/>
    <col min="7" max="7" width="34.109375" style="32" customWidth="1"/>
    <col min="8" max="26" width="8.6640625" style="32" customWidth="1"/>
  </cols>
  <sheetData>
    <row r="1" spans="2:7" ht="14.4" x14ac:dyDescent="0.3">
      <c r="B1" s="43" t="s">
        <v>72</v>
      </c>
      <c r="C1" s="42"/>
      <c r="D1" s="42"/>
      <c r="E1" s="42"/>
      <c r="F1" s="42"/>
      <c r="G1" s="42"/>
    </row>
    <row r="2" spans="2:7" ht="14.4" x14ac:dyDescent="0.3"/>
    <row r="3" spans="2:7" ht="14.4" x14ac:dyDescent="0.3"/>
    <row r="4" spans="2:7" ht="14.4" x14ac:dyDescent="0.3"/>
    <row r="5" spans="2:7" ht="14.4" x14ac:dyDescent="0.3">
      <c r="B5" s="22" t="s">
        <v>0</v>
      </c>
      <c r="C5" s="22" t="s">
        <v>47</v>
      </c>
      <c r="D5" s="22" t="s">
        <v>48</v>
      </c>
      <c r="E5" s="22" t="s">
        <v>49</v>
      </c>
      <c r="F5" s="22" t="s">
        <v>50</v>
      </c>
    </row>
    <row r="6" spans="2:7" ht="19.5" customHeight="1" x14ac:dyDescent="0.3">
      <c r="B6" s="23">
        <v>1</v>
      </c>
      <c r="C6" s="24" t="s">
        <v>51</v>
      </c>
      <c r="D6" s="24" t="s">
        <v>52</v>
      </c>
      <c r="E6" s="44">
        <v>4800000</v>
      </c>
      <c r="F6" s="46" t="s">
        <v>53</v>
      </c>
    </row>
    <row r="7" spans="2:7" ht="19.5" customHeight="1" x14ac:dyDescent="0.3">
      <c r="B7" s="8">
        <v>2</v>
      </c>
      <c r="C7" s="9" t="s">
        <v>54</v>
      </c>
      <c r="D7" s="9" t="s">
        <v>55</v>
      </c>
      <c r="E7" s="45">
        <v>3400000</v>
      </c>
      <c r="F7" s="47" t="s">
        <v>56</v>
      </c>
    </row>
    <row r="8" spans="2:7" ht="19.5" customHeight="1" x14ac:dyDescent="0.3">
      <c r="B8" s="23">
        <v>3</v>
      </c>
      <c r="C8" s="24" t="s">
        <v>57</v>
      </c>
      <c r="D8" s="24" t="s">
        <v>52</v>
      </c>
      <c r="E8" s="44">
        <v>5300000</v>
      </c>
      <c r="F8" s="46" t="s">
        <v>53</v>
      </c>
    </row>
    <row r="9" spans="2:7" ht="19.5" customHeight="1" x14ac:dyDescent="0.3">
      <c r="B9" s="8">
        <v>4</v>
      </c>
      <c r="C9" s="9" t="s">
        <v>58</v>
      </c>
      <c r="D9" s="9" t="s">
        <v>59</v>
      </c>
      <c r="E9" s="45">
        <v>3950000</v>
      </c>
      <c r="F9" s="47" t="s">
        <v>56</v>
      </c>
    </row>
    <row r="10" spans="2:7" ht="19.5" customHeight="1" x14ac:dyDescent="0.3">
      <c r="B10" s="23">
        <v>5</v>
      </c>
      <c r="C10" s="24" t="s">
        <v>60</v>
      </c>
      <c r="D10" s="24" t="s">
        <v>55</v>
      </c>
      <c r="E10" s="44">
        <v>4450000</v>
      </c>
      <c r="F10" s="46" t="s">
        <v>53</v>
      </c>
    </row>
    <row r="11" spans="2:7" ht="19.5" customHeight="1" x14ac:dyDescent="0.3">
      <c r="B11" s="8">
        <v>6</v>
      </c>
      <c r="C11" s="9" t="s">
        <v>61</v>
      </c>
      <c r="D11" s="9" t="s">
        <v>59</v>
      </c>
      <c r="E11" s="45">
        <v>3100000</v>
      </c>
      <c r="F11" s="47" t="s">
        <v>56</v>
      </c>
    </row>
    <row r="12" spans="2:7" ht="19.5" customHeight="1" x14ac:dyDescent="0.3">
      <c r="B12" s="23">
        <v>7</v>
      </c>
      <c r="C12" s="24" t="s">
        <v>62</v>
      </c>
      <c r="D12" s="24" t="s">
        <v>52</v>
      </c>
      <c r="E12" s="44">
        <v>6250000</v>
      </c>
      <c r="F12" s="46" t="s">
        <v>53</v>
      </c>
    </row>
    <row r="13" spans="2:7" ht="19.5" customHeight="1" x14ac:dyDescent="0.3">
      <c r="B13" s="8">
        <v>8</v>
      </c>
      <c r="C13" s="9" t="s">
        <v>63</v>
      </c>
      <c r="D13" s="9" t="s">
        <v>55</v>
      </c>
      <c r="E13" s="45">
        <v>3650000</v>
      </c>
      <c r="F13" s="47" t="s">
        <v>56</v>
      </c>
    </row>
    <row r="14" spans="2:7" ht="14.4" x14ac:dyDescent="0.3"/>
    <row r="15" spans="2:7" ht="14.4" x14ac:dyDescent="0.3"/>
    <row r="16" spans="2:7" ht="15.75" customHeight="1" x14ac:dyDescent="0.3"/>
    <row r="17" ht="39.75" customHeight="1" x14ac:dyDescent="0.3"/>
    <row r="18" ht="15.75" customHeight="1" x14ac:dyDescent="0.3"/>
    <row r="19" ht="39.75" customHeight="1" x14ac:dyDescent="0.3"/>
    <row r="20" ht="15.75" customHeight="1" x14ac:dyDescent="0.3"/>
    <row r="21" ht="39.75" customHeight="1" x14ac:dyDescent="0.3"/>
    <row r="22" ht="15.75" customHeight="1" x14ac:dyDescent="0.3"/>
    <row r="23" ht="39.75" customHeight="1" x14ac:dyDescent="0.3"/>
    <row r="24" ht="15.75" customHeight="1" x14ac:dyDescent="0.3"/>
    <row r="25" ht="39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1">
    <mergeCell ref="B1:G1"/>
  </mergeCells>
  <pageMargins left="0.75" right="0.75" top="1" bottom="1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  <outlinePr summaryBelow="0" summaryRight="0"/>
  </sheetPr>
  <dimension ref="A1:Z999"/>
  <sheetViews>
    <sheetView topLeftCell="A5" workbookViewId="0">
      <selection activeCell="B2" sqref="B2:G3"/>
    </sheetView>
  </sheetViews>
  <sheetFormatPr defaultColWidth="14.44140625" defaultRowHeight="15" customHeight="1" x14ac:dyDescent="0.3"/>
  <cols>
    <col min="1" max="1" width="4.6640625" style="32" customWidth="1"/>
    <col min="2" max="2" width="10.33203125" style="32" customWidth="1"/>
    <col min="3" max="3" width="15.33203125" style="32" customWidth="1"/>
    <col min="7" max="7" width="21.33203125" style="32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6" customHeight="1" x14ac:dyDescent="0.3">
      <c r="A5" s="1"/>
      <c r="B5" s="36" t="s">
        <v>64</v>
      </c>
      <c r="C5" s="35"/>
      <c r="D5" s="35"/>
      <c r="E5" s="35"/>
      <c r="F5" s="35"/>
      <c r="G5" s="3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1"/>
      <c r="B6" s="25" t="s">
        <v>0</v>
      </c>
      <c r="C6" s="25" t="s">
        <v>1</v>
      </c>
      <c r="D6" s="25" t="s">
        <v>2</v>
      </c>
      <c r="E6" s="25" t="s">
        <v>65</v>
      </c>
      <c r="F6" s="25" t="s">
        <v>66</v>
      </c>
      <c r="G6" s="25" t="s">
        <v>67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"/>
      <c r="B7" s="26">
        <v>1</v>
      </c>
      <c r="C7" s="27" t="s">
        <v>7</v>
      </c>
      <c r="D7" s="27" t="s">
        <v>8</v>
      </c>
      <c r="E7" s="26" t="s">
        <v>68</v>
      </c>
      <c r="F7" s="26">
        <v>55</v>
      </c>
      <c r="G7" s="28">
        <v>2860000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 x14ac:dyDescent="0.3">
      <c r="A8" s="1"/>
      <c r="B8" s="29">
        <v>2</v>
      </c>
      <c r="C8" s="30" t="s">
        <v>14</v>
      </c>
      <c r="D8" s="30" t="s">
        <v>15</v>
      </c>
      <c r="E8" s="29" t="s">
        <v>68</v>
      </c>
      <c r="F8" s="29">
        <v>12</v>
      </c>
      <c r="G8" s="31">
        <v>1320000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 x14ac:dyDescent="0.3">
      <c r="A9" s="1"/>
      <c r="B9" s="26">
        <v>3</v>
      </c>
      <c r="C9" s="27" t="s">
        <v>10</v>
      </c>
      <c r="D9" s="27" t="s">
        <v>8</v>
      </c>
      <c r="E9" s="26" t="s">
        <v>68</v>
      </c>
      <c r="F9" s="26">
        <v>90</v>
      </c>
      <c r="G9" s="28">
        <v>855000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 x14ac:dyDescent="0.3">
      <c r="A10" s="1"/>
      <c r="B10" s="29">
        <v>4</v>
      </c>
      <c r="C10" s="30" t="s">
        <v>23</v>
      </c>
      <c r="D10" s="30" t="s">
        <v>15</v>
      </c>
      <c r="E10" s="29" t="s">
        <v>68</v>
      </c>
      <c r="F10" s="29">
        <v>14</v>
      </c>
      <c r="G10" s="31">
        <v>1288000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 x14ac:dyDescent="0.3">
      <c r="A11" s="1"/>
      <c r="B11" s="26">
        <v>5</v>
      </c>
      <c r="C11" s="27" t="s">
        <v>7</v>
      </c>
      <c r="D11" s="27" t="s">
        <v>8</v>
      </c>
      <c r="E11" s="26" t="s">
        <v>69</v>
      </c>
      <c r="F11" s="26">
        <v>70</v>
      </c>
      <c r="G11" s="28">
        <v>3640000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29">
        <v>6</v>
      </c>
      <c r="C12" s="30" t="s">
        <v>14</v>
      </c>
      <c r="D12" s="30" t="s">
        <v>15</v>
      </c>
      <c r="E12" s="29" t="s">
        <v>69</v>
      </c>
      <c r="F12" s="29">
        <v>9</v>
      </c>
      <c r="G12" s="31">
        <v>990000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26">
        <v>7</v>
      </c>
      <c r="C13" s="27" t="s">
        <v>10</v>
      </c>
      <c r="D13" s="27" t="s">
        <v>8</v>
      </c>
      <c r="E13" s="26" t="s">
        <v>69</v>
      </c>
      <c r="F13" s="26">
        <v>110</v>
      </c>
      <c r="G13" s="28">
        <v>1045000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 x14ac:dyDescent="0.3">
      <c r="A14" s="1"/>
      <c r="B14" s="29">
        <v>8</v>
      </c>
      <c r="C14" s="30" t="s">
        <v>23</v>
      </c>
      <c r="D14" s="30" t="s">
        <v>15</v>
      </c>
      <c r="E14" s="29" t="s">
        <v>69</v>
      </c>
      <c r="F14" s="29">
        <v>17</v>
      </c>
      <c r="G14" s="31">
        <v>1564000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26">
        <v>9</v>
      </c>
      <c r="C15" s="27" t="s">
        <v>7</v>
      </c>
      <c r="D15" s="27" t="s">
        <v>8</v>
      </c>
      <c r="E15" s="26" t="s">
        <v>70</v>
      </c>
      <c r="F15" s="26">
        <v>50</v>
      </c>
      <c r="G15" s="28">
        <v>2600000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1"/>
      <c r="B16" s="29">
        <v>10</v>
      </c>
      <c r="C16" s="30" t="s">
        <v>14</v>
      </c>
      <c r="D16" s="30" t="s">
        <v>15</v>
      </c>
      <c r="E16" s="29" t="s">
        <v>70</v>
      </c>
      <c r="F16" s="29">
        <v>7</v>
      </c>
      <c r="G16" s="31">
        <v>770000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26">
        <v>11</v>
      </c>
      <c r="C17" s="27" t="s">
        <v>10</v>
      </c>
      <c r="D17" s="27" t="s">
        <v>8</v>
      </c>
      <c r="E17" s="26" t="s">
        <v>70</v>
      </c>
      <c r="F17" s="26">
        <v>95</v>
      </c>
      <c r="G17" s="28">
        <v>902500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29">
        <v>12</v>
      </c>
      <c r="C18" s="30" t="s">
        <v>23</v>
      </c>
      <c r="D18" s="30" t="s">
        <v>15</v>
      </c>
      <c r="E18" s="29" t="s">
        <v>70</v>
      </c>
      <c r="F18" s="29">
        <v>22</v>
      </c>
      <c r="G18" s="31">
        <v>2024000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.75" customHeight="1" x14ac:dyDescent="0.3"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 x14ac:dyDescent="0.3"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 x14ac:dyDescent="0.3"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 x14ac:dyDescent="0.3"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 x14ac:dyDescent="0.3"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 x14ac:dyDescent="0.3"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 x14ac:dyDescent="0.3"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 x14ac:dyDescent="0.3"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 x14ac:dyDescent="0.3"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 x14ac:dyDescent="0.3"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 x14ac:dyDescent="0.3"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 x14ac:dyDescent="0.3"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 x14ac:dyDescent="0.3"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x14ac:dyDescent="0.3"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 x14ac:dyDescent="0.3"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4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4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4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4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4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4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4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4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4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4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4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4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4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4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4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4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4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4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4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4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4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4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4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4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4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4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4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4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4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4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4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4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4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4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4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4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4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4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4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4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4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4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4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4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4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4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4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4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4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4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4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4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4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4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4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4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4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4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4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4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4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4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4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4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4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4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4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4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4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4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4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4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4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4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4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4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4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4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4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4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4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4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4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4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4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4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4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4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4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4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4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4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4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4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4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4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4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4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4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4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4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4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4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4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4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4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4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4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4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4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4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4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4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4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4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4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4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4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4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4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4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4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4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4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4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4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4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4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4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4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4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4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4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4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4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4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4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4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4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4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4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4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4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4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4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4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4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4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4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4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4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4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4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4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4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4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4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4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4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4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4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4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4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4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4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4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4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4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4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4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4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4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4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4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4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4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4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4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4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4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4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4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4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4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4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4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4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4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4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4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4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4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4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4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4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4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4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4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4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4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4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4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4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4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4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4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4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4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4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4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4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4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4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4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4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4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4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4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4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4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4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4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4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4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4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4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4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4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4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4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4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4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4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4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4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4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4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4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4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4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4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4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4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4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4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4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4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4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4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4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4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4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4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4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4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4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4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4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4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4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4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4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4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4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4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4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4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4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4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4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4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4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4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4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4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4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4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4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4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4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4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4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4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4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4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4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4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4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4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4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4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4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4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4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4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4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4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4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4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4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4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4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4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4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4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4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4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4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4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4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4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4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4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4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4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4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4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4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4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4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4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4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4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4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4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4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4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4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4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4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4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4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4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4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4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4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4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4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4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4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4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4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4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4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4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4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4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4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4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4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4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4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4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4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4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4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4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4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4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4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4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4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4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4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4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4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4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4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4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4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4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4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4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4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4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4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4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4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4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4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4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4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4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4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4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4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4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4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4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4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4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4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4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4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4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4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4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4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4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4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4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4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4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4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4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4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4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4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4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4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4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4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4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4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4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4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4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4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4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4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4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4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4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4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4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4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4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4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4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4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4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4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4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4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4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4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4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4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4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4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4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4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4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4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4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4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4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4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4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4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4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4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4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4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4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4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4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4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4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4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4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4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4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4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4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4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4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4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4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4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4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4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4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4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4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4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4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4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4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4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4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4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4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4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4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4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4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4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4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4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4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4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4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4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4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4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4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4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4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4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4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4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4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4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4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4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4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4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4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4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4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">
    <mergeCell ref="B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05A3-F15E-435B-9D9C-3542C49EC2BC}">
  <dimension ref="A2:E7"/>
  <sheetViews>
    <sheetView tabSelected="1" workbookViewId="0">
      <selection activeCell="J23" sqref="J23"/>
    </sheetView>
  </sheetViews>
  <sheetFormatPr defaultRowHeight="14.4" x14ac:dyDescent="0.3"/>
  <cols>
    <col min="1" max="1" width="24.88671875" bestFit="1" customWidth="1"/>
    <col min="2" max="2" width="15.5546875" bestFit="1" customWidth="1"/>
    <col min="3" max="4" width="8" bestFit="1" customWidth="1"/>
    <col min="5" max="5" width="10.77734375" bestFit="1" customWidth="1"/>
  </cols>
  <sheetData>
    <row r="2" spans="1:5" x14ac:dyDescent="0.3">
      <c r="A2" s="51" t="s">
        <v>77</v>
      </c>
      <c r="B2" s="51"/>
      <c r="C2" s="51"/>
      <c r="D2" s="51"/>
      <c r="E2" s="51"/>
    </row>
    <row r="3" spans="1:5" x14ac:dyDescent="0.3">
      <c r="A3" s="48" t="s">
        <v>76</v>
      </c>
      <c r="B3" s="48" t="s">
        <v>75</v>
      </c>
    </row>
    <row r="4" spans="1:5" x14ac:dyDescent="0.3">
      <c r="A4" s="48" t="s">
        <v>73</v>
      </c>
      <c r="B4" t="s">
        <v>69</v>
      </c>
      <c r="C4" t="s">
        <v>68</v>
      </c>
      <c r="D4" t="s">
        <v>70</v>
      </c>
      <c r="E4" t="s">
        <v>74</v>
      </c>
    </row>
    <row r="5" spans="1:5" x14ac:dyDescent="0.3">
      <c r="A5" s="49" t="s">
        <v>8</v>
      </c>
      <c r="B5" s="50">
        <v>4685000</v>
      </c>
      <c r="C5" s="50">
        <v>3715000</v>
      </c>
      <c r="D5" s="50">
        <v>3502500</v>
      </c>
      <c r="E5" s="50">
        <v>11902500</v>
      </c>
    </row>
    <row r="6" spans="1:5" x14ac:dyDescent="0.3">
      <c r="A6" s="49" t="s">
        <v>15</v>
      </c>
      <c r="B6" s="50">
        <v>2554000</v>
      </c>
      <c r="C6" s="50">
        <v>2608000</v>
      </c>
      <c r="D6" s="50">
        <v>2794000</v>
      </c>
      <c r="E6" s="50">
        <v>7956000</v>
      </c>
    </row>
    <row r="7" spans="1:5" x14ac:dyDescent="0.3">
      <c r="A7" s="49" t="s">
        <v>74</v>
      </c>
      <c r="B7" s="50">
        <v>7239000</v>
      </c>
      <c r="C7" s="50">
        <v>6323000</v>
      </c>
      <c r="D7" s="50">
        <v>6296500</v>
      </c>
      <c r="E7" s="50">
        <v>19858500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Analysis</vt:lpstr>
      <vt:lpstr>Employee Lookup</vt:lpstr>
      <vt:lpstr>Employee Data</vt:lpstr>
      <vt:lpstr>Sales Pivot Report</vt:lpstr>
      <vt:lpstr>Pivot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Mochamad Haikal Ardiansyah</cp:lastModifiedBy>
  <dcterms:created xsi:type="dcterms:W3CDTF">2026-06-24T08:06:13Z</dcterms:created>
  <dcterms:modified xsi:type="dcterms:W3CDTF">2026-09-10T14:28:26Z</dcterms:modified>
</cp:coreProperties>
</file>