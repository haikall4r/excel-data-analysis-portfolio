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0BFC3A30-3888-452A-A9F3-DF4004230F1E}" xr6:coauthVersionLast="47" xr6:coauthVersionMax="47" xr10:uidLastSave="{00000000-0000-0000-0000-000000000000}"/>
  <bookViews>
    <workbookView xWindow="-108" yWindow="-108" windowWidth="23256" windowHeight="12576" activeTab="3" xr2:uid="{4C20D042-088D-4865-93E1-AD8135F30B26}"/>
  </bookViews>
  <sheets>
    <sheet name="Pivot Analysis" sheetId="3" r:id="rId1"/>
    <sheet name="Pivot Category" sheetId="4" r:id="rId2"/>
    <sheet name="Sales Data" sheetId="1" r:id="rId3"/>
    <sheet name="Dashboard" sheetId="2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" l="1"/>
  <c r="C4" i="2"/>
  <c r="B4" i="2"/>
  <c r="A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<sst xmlns="http://schemas.openxmlformats.org/spreadsheetml/2006/main" count="130" uniqueCount="26">
  <si>
    <t>Date</t>
  </si>
  <si>
    <t>Product</t>
  </si>
  <si>
    <t>Category</t>
  </si>
  <si>
    <t>Unit Price</t>
  </si>
  <si>
    <t>Revenue</t>
  </si>
  <si>
    <t>Laptop</t>
  </si>
  <si>
    <t>Mouse</t>
  </si>
  <si>
    <t>headset</t>
  </si>
  <si>
    <t>printer</t>
  </si>
  <si>
    <t>Keyboard</t>
  </si>
  <si>
    <t>Monitor</t>
  </si>
  <si>
    <t>Printer</t>
  </si>
  <si>
    <t>Headset</t>
  </si>
  <si>
    <t>Electronics</t>
  </si>
  <si>
    <t>Accessories</t>
  </si>
  <si>
    <t>Quantity</t>
  </si>
  <si>
    <t>Sales Performance Dashboard</t>
  </si>
  <si>
    <t>Total Revenue</t>
  </si>
  <si>
    <t>Total Quantity Sold</t>
  </si>
  <si>
    <t>Total Transaction</t>
  </si>
  <si>
    <t>Average Sales</t>
  </si>
  <si>
    <t>Row Labels</t>
  </si>
  <si>
    <t>Grand Total</t>
  </si>
  <si>
    <t>Sum of Revenue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</si>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</sst>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-[$Rp-421]* #,##0.00_-;\-[$Rp-421]* #,##0.00_-;_-[$Rp-421]* &quot;-&quot;??_-;_-@_-"/>
  </numFmts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72" fontId="0" fillId="0" borderId="2" xfId="0" applyNumberFormat="1" applyBorder="1"/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72" formatCode="_-[$Rp-421]* #,##0.00_-;\-[$Rp-421]* #,##0.00_-;_-[$Rp-421]* &quot;-&quot;??_-;_-@_-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[Sales_Performance_Dashboard_Haikal.xlsx]Pivot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Analysis'!$A$4:$A$10</c:f>
              <c:strCache>
                <c:ptCount val="6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Analysis'!$B$4:$B$10</c:f>
              <c:numCache>
                <c:formatCode>_-[$Rp-421]* #,##0.00_-;\-[$Rp-421]* #,##0.00_-;_-[$Rp-421]* "-"??_-;_-@_-</c:formatCode>
                <c:ptCount val="6"/>
                <c:pt idx="0">
                  <c:v>41650000</c:v>
                </c:pt>
                <c:pt idx="1">
                  <c:v>64800000</c:v>
                </c:pt>
                <c:pt idx="2">
                  <c:v>208000000</c:v>
                </c:pt>
                <c:pt idx="3">
                  <c:v>140000000</c:v>
                </c:pt>
                <c:pt idx="4">
                  <c:v>46200000</c:v>
                </c:pt>
                <c:pt idx="5">
                  <c:v>43200000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F13-BA2D-7B97507FD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130303"/>
        <c:axId val="1594131743"/>
      </c:barChart>
      <c:catAx>
        <c:axId val="15941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31743"/>
        <c:crosses val="autoZero"/>
        <c:auto val="1"/>
        <c:lblAlgn val="ctr"/>
        <c:lblOffset val="100"/>
        <c:noMultiLvlLbl val="0"/>
      </c:catAx>
      <c:valAx>
        <c:axId val="15941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.00_-;\-[$Rp-421]* #,##0.00_-;_-[$Rp-42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3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[Sales_Performance_Dashboard_Haikal.xlsx]Pivot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AB-41BB-9996-A4ADD2B3AC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AB-41BB-9996-A4ADD2B3AC12}"/>
              </c:ext>
            </c:extLst>
          </c:dPt>
          <c:cat>
            <c:strRef>
              <c:f>'Pivot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'Pivot Category'!$B$4:$B$6</c:f>
              <c:numCache>
                <c:formatCode>_-[$Rp-421]* #,##0.00_-;\-[$Rp-421]* #,##0.00_-;_-[$Rp-421]* "-"??_-;_-@_-</c:formatCode>
                <c:ptCount val="2"/>
                <c:pt idx="0">
                  <c:v>152650000</c:v>
                </c:pt>
                <c:pt idx="1">
                  <c:v>391200000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AB-41BB-9996-A4ADD2B3A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[Sales_Performance_Dashboard_Haikal.xlsx]Pivot 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Analysis'!$A$17:$A$19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'Pivot Analysis'!$B$17:$B$19</c:f>
              <c:numCache>
                <c:formatCode>_-[$Rp-421]* #,##0.00_-;\-[$Rp-421]* #,##0.00_-;_-[$Rp-421]* "-"??_-;_-@_-</c:formatCode>
                <c:ptCount val="2"/>
                <c:pt idx="0">
                  <c:v>287950000</c:v>
                </c:pt>
                <c:pt idx="1">
                  <c:v>255900000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8-4357-BD36-E685C146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99471"/>
        <c:axId val="88604271"/>
      </c:lineChart>
      <c:catAx>
        <c:axId val="885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4271"/>
        <c:crosses val="autoZero"/>
        <c:auto val="1"/>
        <c:lblAlgn val="ctr"/>
        <c:lblOffset val="100"/>
        <c:noMultiLvlLbl val="0"/>
      </c:catAx>
      <c:valAx>
        <c:axId val="886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.00_-;\-[$Rp-421]* #,##0.00_-;_-[$Rp-42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175261</xdr:rowOff>
    </xdr:from>
    <xdr:to>
      <xdr:col>3</xdr:col>
      <xdr:colOff>1171574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CBE1E-C2D8-4285-8308-E1322FF19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6</xdr:row>
      <xdr:rowOff>0</xdr:rowOff>
    </xdr:from>
    <xdr:to>
      <xdr:col>13</xdr:col>
      <xdr:colOff>600075</xdr:colOff>
      <xdr:row>18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C6E03-0113-4E7D-B608-6982BB014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19</xdr:row>
      <xdr:rowOff>9525</xdr:rowOff>
    </xdr:from>
    <xdr:to>
      <xdr:col>3</xdr:col>
      <xdr:colOff>1181099</xdr:colOff>
      <xdr:row>31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F8E01F-3746-416D-ABCF-94471BA99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88.619056597221" createdVersion="8" refreshedVersion="8" minRefreshableVersion="3" recordCount="50" xr:uid="{0C71D90A-CD29-4765-8D15-E29F3F3380B3}">
  <cacheSource type="worksheet">
    <worksheetSource name="Sales_Data"/>
  </cacheSource>
  <cacheFields count="8">
    <cacheField name="Date" numFmtId="14">
      <sharedItems containsSemiMixedTypes="0" containsNonDate="0" containsDate="1" containsString="0" minDate="2026-01-01T00:00:00" maxDate="2026-02-20T00:00:00" count="5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</sharedItems>
      <fieldGroup par="7"/>
    </cacheField>
    <cacheField name="Product" numFmtId="0">
      <sharedItems count="6">
        <s v="Laptop"/>
        <s v="Mouse"/>
        <s v="Keyboard"/>
        <s v="Monitor"/>
        <s v="headset"/>
        <s v="printe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50"/>
    </cacheField>
    <cacheField name="Unit Price" numFmtId="172">
      <sharedItems containsSemiMixedTypes="0" containsString="0" containsNumber="1" containsInteger="1" minValue="150000" maxValue="8000000"/>
    </cacheField>
    <cacheField name="Revenue" numFmtId="172">
      <sharedItems containsSemiMixedTypes="0" containsString="0" containsNumber="1" containsInteger="1" minValue="2250000" maxValue="40000000"/>
    </cacheField>
    <cacheField name="Days (Date)" numFmtId="0" databaseField="0">
      <fieldGroup base="0">
        <rangePr groupBy="days" startDate="2026-01-01T00:00:00" endDate="2026-02-20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0/2026"/>
        </groupItems>
      </fieldGroup>
    </cacheField>
    <cacheField name="Months (Date)" numFmtId="0" databaseField="0">
      <fieldGroup base="0">
        <rangePr groupBy="months" startDate="2026-01-01T00:00:00" endDate="2026-02-20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"/>
    <n v="8000000"/>
    <n v="16000000"/>
  </r>
  <r>
    <x v="1"/>
    <x v="1"/>
    <x v="1"/>
    <n v="15"/>
    <n v="150000"/>
    <n v="2250000"/>
  </r>
  <r>
    <x v="2"/>
    <x v="2"/>
    <x v="1"/>
    <n v="8"/>
    <n v="400000"/>
    <n v="3200000"/>
  </r>
  <r>
    <x v="3"/>
    <x v="3"/>
    <x v="0"/>
    <n v="4"/>
    <n v="2500000"/>
    <n v="10000000"/>
  </r>
  <r>
    <x v="4"/>
    <x v="4"/>
    <x v="1"/>
    <n v="10"/>
    <n v="350000"/>
    <n v="3500000"/>
  </r>
  <r>
    <x v="5"/>
    <x v="0"/>
    <x v="0"/>
    <n v="1"/>
    <n v="8000000"/>
    <n v="8000000"/>
  </r>
  <r>
    <x v="6"/>
    <x v="1"/>
    <x v="1"/>
    <n v="25"/>
    <n v="150000"/>
    <n v="3750000"/>
  </r>
  <r>
    <x v="7"/>
    <x v="3"/>
    <x v="0"/>
    <n v="3"/>
    <n v="2500000"/>
    <n v="7500000"/>
  </r>
  <r>
    <x v="8"/>
    <x v="2"/>
    <x v="1"/>
    <n v="12"/>
    <n v="400000"/>
    <n v="4800000"/>
  </r>
  <r>
    <x v="9"/>
    <x v="0"/>
    <x v="0"/>
    <n v="3"/>
    <n v="8000000"/>
    <n v="24000000"/>
  </r>
  <r>
    <x v="10"/>
    <x v="5"/>
    <x v="0"/>
    <n v="2"/>
    <n v="1800000"/>
    <n v="3600000"/>
  </r>
  <r>
    <x v="11"/>
    <x v="1"/>
    <x v="1"/>
    <n v="18"/>
    <n v="150000"/>
    <n v="2700000"/>
  </r>
  <r>
    <x v="12"/>
    <x v="4"/>
    <x v="1"/>
    <n v="7"/>
    <n v="350000"/>
    <n v="2450000"/>
  </r>
  <r>
    <x v="13"/>
    <x v="3"/>
    <x v="0"/>
    <n v="5"/>
    <n v="2500000"/>
    <n v="12500000"/>
  </r>
  <r>
    <x v="14"/>
    <x v="2"/>
    <x v="1"/>
    <n v="20"/>
    <n v="400000"/>
    <n v="8000000"/>
  </r>
  <r>
    <x v="15"/>
    <x v="0"/>
    <x v="0"/>
    <n v="2"/>
    <n v="8000000"/>
    <n v="16000000"/>
  </r>
  <r>
    <x v="16"/>
    <x v="5"/>
    <x v="0"/>
    <n v="4"/>
    <n v="1800000"/>
    <n v="7200000"/>
  </r>
  <r>
    <x v="17"/>
    <x v="1"/>
    <x v="1"/>
    <n v="30"/>
    <n v="150000"/>
    <n v="4500000"/>
  </r>
  <r>
    <x v="18"/>
    <x v="4"/>
    <x v="1"/>
    <n v="15"/>
    <n v="350000"/>
    <n v="5250000"/>
  </r>
  <r>
    <x v="19"/>
    <x v="3"/>
    <x v="0"/>
    <n v="6"/>
    <n v="2500000"/>
    <n v="15000000"/>
  </r>
  <r>
    <x v="20"/>
    <x v="0"/>
    <x v="0"/>
    <n v="4"/>
    <n v="8000000"/>
    <n v="32000000"/>
  </r>
  <r>
    <x v="21"/>
    <x v="2"/>
    <x v="1"/>
    <n v="14"/>
    <n v="400000"/>
    <n v="5600000"/>
  </r>
  <r>
    <x v="22"/>
    <x v="1"/>
    <x v="1"/>
    <n v="22"/>
    <n v="150000"/>
    <n v="3300000"/>
  </r>
  <r>
    <x v="23"/>
    <x v="5"/>
    <x v="0"/>
    <n v="3"/>
    <n v="1800000"/>
    <n v="5400000"/>
  </r>
  <r>
    <x v="24"/>
    <x v="3"/>
    <x v="0"/>
    <n v="8"/>
    <n v="2500000"/>
    <n v="20000000"/>
  </r>
  <r>
    <x v="25"/>
    <x v="0"/>
    <x v="0"/>
    <n v="1"/>
    <n v="8000000"/>
    <n v="8000000"/>
  </r>
  <r>
    <x v="26"/>
    <x v="4"/>
    <x v="1"/>
    <n v="20"/>
    <n v="350000"/>
    <n v="7000000"/>
  </r>
  <r>
    <x v="27"/>
    <x v="2"/>
    <x v="1"/>
    <n v="18"/>
    <n v="400000"/>
    <n v="7200000"/>
  </r>
  <r>
    <x v="28"/>
    <x v="1"/>
    <x v="1"/>
    <n v="35"/>
    <n v="150000"/>
    <n v="5250000"/>
  </r>
  <r>
    <x v="29"/>
    <x v="3"/>
    <x v="0"/>
    <n v="4"/>
    <n v="2500000"/>
    <n v="10000000"/>
  </r>
  <r>
    <x v="30"/>
    <x v="0"/>
    <x v="0"/>
    <n v="3"/>
    <n v="8000000"/>
    <n v="24000000"/>
  </r>
  <r>
    <x v="31"/>
    <x v="5"/>
    <x v="0"/>
    <n v="5"/>
    <n v="1800000"/>
    <n v="9000000"/>
  </r>
  <r>
    <x v="32"/>
    <x v="1"/>
    <x v="1"/>
    <n v="40"/>
    <n v="150000"/>
    <n v="6000000"/>
  </r>
  <r>
    <x v="33"/>
    <x v="2"/>
    <x v="1"/>
    <n v="25"/>
    <n v="400000"/>
    <n v="10000000"/>
  </r>
  <r>
    <x v="34"/>
    <x v="3"/>
    <x v="0"/>
    <n v="7"/>
    <n v="2500000"/>
    <n v="17500000"/>
  </r>
  <r>
    <x v="35"/>
    <x v="4"/>
    <x v="1"/>
    <n v="12"/>
    <n v="350000"/>
    <n v="4200000"/>
  </r>
  <r>
    <x v="36"/>
    <x v="0"/>
    <x v="0"/>
    <n v="2"/>
    <n v="8000000"/>
    <n v="16000000"/>
  </r>
  <r>
    <x v="37"/>
    <x v="1"/>
    <x v="1"/>
    <n v="28"/>
    <n v="150000"/>
    <n v="4200000"/>
  </r>
  <r>
    <x v="38"/>
    <x v="5"/>
    <x v="0"/>
    <n v="6"/>
    <n v="1800000"/>
    <n v="10800000"/>
  </r>
  <r>
    <x v="39"/>
    <x v="2"/>
    <x v="1"/>
    <n v="30"/>
    <n v="400000"/>
    <n v="12000000"/>
  </r>
  <r>
    <x v="40"/>
    <x v="3"/>
    <x v="0"/>
    <n v="9"/>
    <n v="2500000"/>
    <n v="22500000"/>
  </r>
  <r>
    <x v="41"/>
    <x v="0"/>
    <x v="0"/>
    <n v="5"/>
    <n v="8000000"/>
    <n v="40000000"/>
  </r>
  <r>
    <x v="42"/>
    <x v="4"/>
    <x v="1"/>
    <n v="25"/>
    <n v="350000"/>
    <n v="8750000"/>
  </r>
  <r>
    <x v="43"/>
    <x v="1"/>
    <x v="1"/>
    <n v="45"/>
    <n v="150000"/>
    <n v="6750000"/>
  </r>
  <r>
    <x v="44"/>
    <x v="5"/>
    <x v="0"/>
    <n v="4"/>
    <n v="1800000"/>
    <n v="7200000"/>
  </r>
  <r>
    <x v="45"/>
    <x v="2"/>
    <x v="1"/>
    <n v="35"/>
    <n v="400000"/>
    <n v="14000000"/>
  </r>
  <r>
    <x v="46"/>
    <x v="3"/>
    <x v="0"/>
    <n v="10"/>
    <n v="2500000"/>
    <n v="25000000"/>
  </r>
  <r>
    <x v="47"/>
    <x v="0"/>
    <x v="0"/>
    <n v="3"/>
    <n v="8000000"/>
    <n v="24000000"/>
  </r>
  <r>
    <x v="48"/>
    <x v="1"/>
    <x v="1"/>
    <n v="50"/>
    <n v="150000"/>
    <n v="7500000"/>
  </r>
  <r>
    <x v="49"/>
    <x v="4"/>
    <x v="1"/>
    <n v="30"/>
    <n v="350000"/>
    <n v="10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97D86-9DEA-4E8A-AA74-609F329F96D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6:B19" firstHeaderRow="1" firstDataRow="1" firstDataCol="1"/>
  <pivotFields count="8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numFmtId="172" showAll="0"/>
    <pivotField dataField="1" numFmtId="172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Revenue" fld="5" baseField="0" baseItem="0" numFmtId="172"/>
  </dataFields>
  <formats count="1">
    <format dxfId="0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EAC84-660F-455E-96A4-DD8542CE4DD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8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numFmtId="172" showAll="0"/>
    <pivotField dataField="1" numFmtId="17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 numFmtId="172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2E27B-8946-402E-B849-A452BFAA9FF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8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numFmtId="172" showAll="0"/>
    <pivotField dataField="1" numFmtId="17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 numFmtId="172"/>
  </dataFields>
  <formats count="1">
    <format dxfId="3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00587-54BF-41CD-A0A0-143B9ED7042F}" name="Sales_Data" displayName="Sales_Data" ref="A1:F51" totalsRowShown="0">
  <autoFilter ref="A1:F51" xr:uid="{F2F00587-54BF-41CD-A0A0-143B9ED7042F}"/>
  <tableColumns count="6">
    <tableColumn id="1" xr3:uid="{0828DA52-4C5E-43DA-AFB9-97C85B46F354}" name="Date" dataDxfId="7"/>
    <tableColumn id="2" xr3:uid="{B0219736-2961-4FB8-A481-9968BA6B4FBB}" name="Product"/>
    <tableColumn id="3" xr3:uid="{8BBE3F7A-0115-4E44-AC66-73E4A5D434CE}" name="Category"/>
    <tableColumn id="4" xr3:uid="{E0349302-662F-467C-9068-904D4DD5C769}" name="Quantity"/>
    <tableColumn id="5" xr3:uid="{E7D11092-9C35-464C-8C2B-7A3F7212EFCB}" name="Unit Price" dataDxfId="6"/>
    <tableColumn id="6" xr3:uid="{B832B83B-DB51-4E72-8786-D1AF6D1CF40F}" name="Revenue" dataDxfId="5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D210-921D-4EB2-9DCD-48FC195E259E}">
  <dimension ref="A3:B19"/>
  <sheetViews>
    <sheetView topLeftCell="A7" workbookViewId="0">
      <selection activeCell="N20" sqref="N20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3" t="s">
        <v>21</v>
      </c>
      <c r="B3" t="s">
        <v>23</v>
      </c>
    </row>
    <row r="4" spans="1:2" x14ac:dyDescent="0.3">
      <c r="A4" s="4" t="s">
        <v>7</v>
      </c>
      <c r="B4" s="2">
        <v>41650000</v>
      </c>
    </row>
    <row r="5" spans="1:2" x14ac:dyDescent="0.3">
      <c r="A5" s="4" t="s">
        <v>9</v>
      </c>
      <c r="B5" s="2">
        <v>64800000</v>
      </c>
    </row>
    <row r="6" spans="1:2" x14ac:dyDescent="0.3">
      <c r="A6" s="4" t="s">
        <v>5</v>
      </c>
      <c r="B6" s="2">
        <v>208000000</v>
      </c>
    </row>
    <row r="7" spans="1:2" x14ac:dyDescent="0.3">
      <c r="A7" s="4" t="s">
        <v>10</v>
      </c>
      <c r="B7" s="2">
        <v>140000000</v>
      </c>
    </row>
    <row r="8" spans="1:2" x14ac:dyDescent="0.3">
      <c r="A8" s="4" t="s">
        <v>6</v>
      </c>
      <c r="B8" s="2">
        <v>46200000</v>
      </c>
    </row>
    <row r="9" spans="1:2" x14ac:dyDescent="0.3">
      <c r="A9" s="4" t="s">
        <v>8</v>
      </c>
      <c r="B9" s="2">
        <v>43200000</v>
      </c>
    </row>
    <row r="10" spans="1:2" x14ac:dyDescent="0.3">
      <c r="A10" s="4" t="s">
        <v>22</v>
      </c>
      <c r="B10" s="2">
        <v>543850000</v>
      </c>
    </row>
    <row r="16" spans="1:2" x14ac:dyDescent="0.3">
      <c r="A16" s="3" t="s">
        <v>21</v>
      </c>
      <c r="B16" t="s">
        <v>23</v>
      </c>
    </row>
    <row r="17" spans="1:2" x14ac:dyDescent="0.3">
      <c r="A17" s="4" t="s">
        <v>24</v>
      </c>
      <c r="B17" s="2">
        <v>287950000</v>
      </c>
    </row>
    <row r="18" spans="1:2" x14ac:dyDescent="0.3">
      <c r="A18" s="4" t="s">
        <v>25</v>
      </c>
      <c r="B18" s="2">
        <v>255900000</v>
      </c>
    </row>
    <row r="19" spans="1:2" x14ac:dyDescent="0.3">
      <c r="A19" s="4" t="s">
        <v>22</v>
      </c>
      <c r="B19" s="2">
        <v>543850000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A441-2EEF-469B-93B0-FC561FE52B3A}">
  <dimension ref="A3:B6"/>
  <sheetViews>
    <sheetView workbookViewId="0">
      <selection activeCell="A4" sqref="A4:B5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3" t="s">
        <v>21</v>
      </c>
      <c r="B3" t="s">
        <v>23</v>
      </c>
    </row>
    <row r="4" spans="1:2" x14ac:dyDescent="0.3">
      <c r="A4" s="4" t="s">
        <v>14</v>
      </c>
      <c r="B4" s="2">
        <v>152650000</v>
      </c>
    </row>
    <row r="5" spans="1:2" x14ac:dyDescent="0.3">
      <c r="A5" s="4" t="s">
        <v>13</v>
      </c>
      <c r="B5" s="2">
        <v>391200000</v>
      </c>
    </row>
    <row r="6" spans="1:2" x14ac:dyDescent="0.3">
      <c r="A6" s="4" t="s">
        <v>22</v>
      </c>
      <c r="B6" s="2">
        <v>543850000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E68A-9A20-42AB-A5F2-3E4783A69986}">
  <dimension ref="A1:F52"/>
  <sheetViews>
    <sheetView topLeftCell="A2" workbookViewId="0">
      <selection activeCell="A2" sqref="A2"/>
    </sheetView>
  </sheetViews>
  <sheetFormatPr defaultRowHeight="14.4" x14ac:dyDescent="0.3"/>
  <cols>
    <col min="1" max="1" width="9.33203125" bestFit="1" customWidth="1"/>
    <col min="2" max="2" width="9.44140625" customWidth="1"/>
    <col min="3" max="3" width="10.88671875" bestFit="1" customWidth="1"/>
    <col min="4" max="4" width="10" customWidth="1"/>
    <col min="5" max="5" width="15.21875" bestFit="1" customWidth="1"/>
    <col min="6" max="6" width="16.21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s="2" t="s">
        <v>4</v>
      </c>
    </row>
    <row r="2" spans="1:6" x14ac:dyDescent="0.3">
      <c r="A2" s="1">
        <v>46023</v>
      </c>
      <c r="B2" t="s">
        <v>5</v>
      </c>
      <c r="C2" t="s">
        <v>13</v>
      </c>
      <c r="D2">
        <v>2</v>
      </c>
      <c r="E2" s="2">
        <v>8000000</v>
      </c>
      <c r="F2" s="2">
        <f>D2*E2</f>
        <v>16000000</v>
      </c>
    </row>
    <row r="3" spans="1:6" x14ac:dyDescent="0.3">
      <c r="A3" s="1">
        <v>46024</v>
      </c>
      <c r="B3" t="s">
        <v>6</v>
      </c>
      <c r="C3" t="s">
        <v>14</v>
      </c>
      <c r="D3">
        <v>15</v>
      </c>
      <c r="E3" s="2">
        <v>150000</v>
      </c>
      <c r="F3" s="2">
        <f t="shared" ref="F3:F51" si="0">D3*E3</f>
        <v>2250000</v>
      </c>
    </row>
    <row r="4" spans="1:6" x14ac:dyDescent="0.3">
      <c r="A4" s="1">
        <v>46025</v>
      </c>
      <c r="B4" t="s">
        <v>9</v>
      </c>
      <c r="C4" t="s">
        <v>14</v>
      </c>
      <c r="D4">
        <v>8</v>
      </c>
      <c r="E4" s="2">
        <v>400000</v>
      </c>
      <c r="F4" s="2">
        <f t="shared" si="0"/>
        <v>3200000</v>
      </c>
    </row>
    <row r="5" spans="1:6" x14ac:dyDescent="0.3">
      <c r="A5" s="1">
        <v>46026</v>
      </c>
      <c r="B5" t="s">
        <v>10</v>
      </c>
      <c r="C5" t="s">
        <v>13</v>
      </c>
      <c r="D5">
        <v>4</v>
      </c>
      <c r="E5" s="2">
        <v>2500000</v>
      </c>
      <c r="F5" s="2">
        <f t="shared" si="0"/>
        <v>10000000</v>
      </c>
    </row>
    <row r="6" spans="1:6" x14ac:dyDescent="0.3">
      <c r="A6" s="1">
        <v>46027</v>
      </c>
      <c r="B6" t="s">
        <v>7</v>
      </c>
      <c r="C6" t="s">
        <v>14</v>
      </c>
      <c r="D6">
        <v>10</v>
      </c>
      <c r="E6" s="2">
        <v>350000</v>
      </c>
      <c r="F6" s="2">
        <f t="shared" si="0"/>
        <v>3500000</v>
      </c>
    </row>
    <row r="7" spans="1:6" x14ac:dyDescent="0.3">
      <c r="A7" s="1">
        <v>46028</v>
      </c>
      <c r="B7" t="s">
        <v>5</v>
      </c>
      <c r="C7" t="s">
        <v>13</v>
      </c>
      <c r="D7">
        <v>1</v>
      </c>
      <c r="E7" s="2">
        <v>8000000</v>
      </c>
      <c r="F7" s="2">
        <f t="shared" si="0"/>
        <v>8000000</v>
      </c>
    </row>
    <row r="8" spans="1:6" x14ac:dyDescent="0.3">
      <c r="A8" s="1">
        <v>46029</v>
      </c>
      <c r="B8" t="s">
        <v>6</v>
      </c>
      <c r="C8" t="s">
        <v>14</v>
      </c>
      <c r="D8">
        <v>25</v>
      </c>
      <c r="E8" s="2">
        <v>150000</v>
      </c>
      <c r="F8" s="2">
        <f t="shared" si="0"/>
        <v>3750000</v>
      </c>
    </row>
    <row r="9" spans="1:6" x14ac:dyDescent="0.3">
      <c r="A9" s="1">
        <v>46030</v>
      </c>
      <c r="B9" t="s">
        <v>10</v>
      </c>
      <c r="C9" t="s">
        <v>13</v>
      </c>
      <c r="D9">
        <v>3</v>
      </c>
      <c r="E9" s="2">
        <v>2500000</v>
      </c>
      <c r="F9" s="2">
        <f t="shared" si="0"/>
        <v>7500000</v>
      </c>
    </row>
    <row r="10" spans="1:6" x14ac:dyDescent="0.3">
      <c r="A10" s="1">
        <v>46031</v>
      </c>
      <c r="B10" t="s">
        <v>9</v>
      </c>
      <c r="C10" t="s">
        <v>14</v>
      </c>
      <c r="D10">
        <v>12</v>
      </c>
      <c r="E10" s="2">
        <v>400000</v>
      </c>
      <c r="F10" s="2">
        <f t="shared" si="0"/>
        <v>4800000</v>
      </c>
    </row>
    <row r="11" spans="1:6" x14ac:dyDescent="0.3">
      <c r="A11" s="1">
        <v>46032</v>
      </c>
      <c r="B11" t="s">
        <v>5</v>
      </c>
      <c r="C11" t="s">
        <v>13</v>
      </c>
      <c r="D11">
        <v>3</v>
      </c>
      <c r="E11" s="2">
        <v>8000000</v>
      </c>
      <c r="F11" s="2">
        <f t="shared" si="0"/>
        <v>24000000</v>
      </c>
    </row>
    <row r="12" spans="1:6" x14ac:dyDescent="0.3">
      <c r="A12" s="1">
        <v>46033</v>
      </c>
      <c r="B12" t="s">
        <v>8</v>
      </c>
      <c r="C12" t="s">
        <v>13</v>
      </c>
      <c r="D12">
        <v>2</v>
      </c>
      <c r="E12" s="2">
        <v>1800000</v>
      </c>
      <c r="F12" s="2">
        <f t="shared" si="0"/>
        <v>3600000</v>
      </c>
    </row>
    <row r="13" spans="1:6" x14ac:dyDescent="0.3">
      <c r="A13" s="1">
        <v>46034</v>
      </c>
      <c r="B13" t="s">
        <v>6</v>
      </c>
      <c r="C13" t="s">
        <v>14</v>
      </c>
      <c r="D13">
        <v>18</v>
      </c>
      <c r="E13" s="2">
        <v>150000</v>
      </c>
      <c r="F13" s="2">
        <f t="shared" si="0"/>
        <v>2700000</v>
      </c>
    </row>
    <row r="14" spans="1:6" x14ac:dyDescent="0.3">
      <c r="A14" s="1">
        <v>46035</v>
      </c>
      <c r="B14" t="s">
        <v>7</v>
      </c>
      <c r="C14" t="s">
        <v>14</v>
      </c>
      <c r="D14">
        <v>7</v>
      </c>
      <c r="E14" s="2">
        <v>350000</v>
      </c>
      <c r="F14" s="2">
        <f t="shared" si="0"/>
        <v>2450000</v>
      </c>
    </row>
    <row r="15" spans="1:6" x14ac:dyDescent="0.3">
      <c r="A15" s="1">
        <v>46036</v>
      </c>
      <c r="B15" t="s">
        <v>10</v>
      </c>
      <c r="C15" t="s">
        <v>13</v>
      </c>
      <c r="D15">
        <v>5</v>
      </c>
      <c r="E15" s="2">
        <v>2500000</v>
      </c>
      <c r="F15" s="2">
        <f t="shared" si="0"/>
        <v>12500000</v>
      </c>
    </row>
    <row r="16" spans="1:6" x14ac:dyDescent="0.3">
      <c r="A16" s="1">
        <v>46037</v>
      </c>
      <c r="B16" t="s">
        <v>9</v>
      </c>
      <c r="C16" t="s">
        <v>14</v>
      </c>
      <c r="D16">
        <v>20</v>
      </c>
      <c r="E16" s="2">
        <v>400000</v>
      </c>
      <c r="F16" s="2">
        <f t="shared" si="0"/>
        <v>8000000</v>
      </c>
    </row>
    <row r="17" spans="1:6" x14ac:dyDescent="0.3">
      <c r="A17" s="1">
        <v>46038</v>
      </c>
      <c r="B17" t="s">
        <v>5</v>
      </c>
      <c r="C17" t="s">
        <v>13</v>
      </c>
      <c r="D17">
        <v>2</v>
      </c>
      <c r="E17" s="2">
        <v>8000000</v>
      </c>
      <c r="F17" s="2">
        <f t="shared" si="0"/>
        <v>16000000</v>
      </c>
    </row>
    <row r="18" spans="1:6" x14ac:dyDescent="0.3">
      <c r="A18" s="1">
        <v>46039</v>
      </c>
      <c r="B18" t="s">
        <v>8</v>
      </c>
      <c r="C18" t="s">
        <v>13</v>
      </c>
      <c r="D18">
        <v>4</v>
      </c>
      <c r="E18" s="2">
        <v>1800000</v>
      </c>
      <c r="F18" s="2">
        <f t="shared" si="0"/>
        <v>7200000</v>
      </c>
    </row>
    <row r="19" spans="1:6" x14ac:dyDescent="0.3">
      <c r="A19" s="1">
        <v>46040</v>
      </c>
      <c r="B19" t="s">
        <v>6</v>
      </c>
      <c r="C19" t="s">
        <v>14</v>
      </c>
      <c r="D19">
        <v>30</v>
      </c>
      <c r="E19" s="2">
        <v>150000</v>
      </c>
      <c r="F19" s="2">
        <f t="shared" si="0"/>
        <v>4500000</v>
      </c>
    </row>
    <row r="20" spans="1:6" x14ac:dyDescent="0.3">
      <c r="A20" s="1">
        <v>46041</v>
      </c>
      <c r="B20" t="s">
        <v>7</v>
      </c>
      <c r="C20" t="s">
        <v>14</v>
      </c>
      <c r="D20">
        <v>15</v>
      </c>
      <c r="E20" s="2">
        <v>350000</v>
      </c>
      <c r="F20" s="2">
        <f t="shared" si="0"/>
        <v>5250000</v>
      </c>
    </row>
    <row r="21" spans="1:6" x14ac:dyDescent="0.3">
      <c r="A21" s="1">
        <v>46042</v>
      </c>
      <c r="B21" t="s">
        <v>10</v>
      </c>
      <c r="C21" t="s">
        <v>13</v>
      </c>
      <c r="D21">
        <v>6</v>
      </c>
      <c r="E21" s="2">
        <v>2500000</v>
      </c>
      <c r="F21" s="2">
        <f t="shared" si="0"/>
        <v>15000000</v>
      </c>
    </row>
    <row r="22" spans="1:6" x14ac:dyDescent="0.3">
      <c r="A22" s="1">
        <v>46043</v>
      </c>
      <c r="B22" t="s">
        <v>5</v>
      </c>
      <c r="C22" t="s">
        <v>13</v>
      </c>
      <c r="D22">
        <v>4</v>
      </c>
      <c r="E22" s="2">
        <v>8000000</v>
      </c>
      <c r="F22" s="2">
        <f t="shared" si="0"/>
        <v>32000000</v>
      </c>
    </row>
    <row r="23" spans="1:6" x14ac:dyDescent="0.3">
      <c r="A23" s="1">
        <v>46044</v>
      </c>
      <c r="B23" t="s">
        <v>9</v>
      </c>
      <c r="C23" t="s">
        <v>14</v>
      </c>
      <c r="D23">
        <v>14</v>
      </c>
      <c r="E23" s="2">
        <v>400000</v>
      </c>
      <c r="F23" s="2">
        <f t="shared" si="0"/>
        <v>5600000</v>
      </c>
    </row>
    <row r="24" spans="1:6" x14ac:dyDescent="0.3">
      <c r="A24" s="1">
        <v>46045</v>
      </c>
      <c r="B24" t="s">
        <v>6</v>
      </c>
      <c r="C24" t="s">
        <v>14</v>
      </c>
      <c r="D24">
        <v>22</v>
      </c>
      <c r="E24" s="2">
        <v>150000</v>
      </c>
      <c r="F24" s="2">
        <f t="shared" si="0"/>
        <v>3300000</v>
      </c>
    </row>
    <row r="25" spans="1:6" x14ac:dyDescent="0.3">
      <c r="A25" s="1">
        <v>46046</v>
      </c>
      <c r="B25" t="s">
        <v>11</v>
      </c>
      <c r="C25" t="s">
        <v>13</v>
      </c>
      <c r="D25">
        <v>3</v>
      </c>
      <c r="E25" s="2">
        <v>1800000</v>
      </c>
      <c r="F25" s="2">
        <f t="shared" si="0"/>
        <v>5400000</v>
      </c>
    </row>
    <row r="26" spans="1:6" x14ac:dyDescent="0.3">
      <c r="A26" s="1">
        <v>46047</v>
      </c>
      <c r="B26" t="s">
        <v>10</v>
      </c>
      <c r="C26" t="s">
        <v>13</v>
      </c>
      <c r="D26">
        <v>8</v>
      </c>
      <c r="E26" s="2">
        <v>2500000</v>
      </c>
      <c r="F26" s="2">
        <f t="shared" si="0"/>
        <v>20000000</v>
      </c>
    </row>
    <row r="27" spans="1:6" x14ac:dyDescent="0.3">
      <c r="A27" s="1">
        <v>46048</v>
      </c>
      <c r="B27" t="s">
        <v>5</v>
      </c>
      <c r="C27" t="s">
        <v>13</v>
      </c>
      <c r="D27">
        <v>1</v>
      </c>
      <c r="E27" s="2">
        <v>8000000</v>
      </c>
      <c r="F27" s="2">
        <f t="shared" si="0"/>
        <v>8000000</v>
      </c>
    </row>
    <row r="28" spans="1:6" x14ac:dyDescent="0.3">
      <c r="A28" s="1">
        <v>46049</v>
      </c>
      <c r="B28" t="s">
        <v>12</v>
      </c>
      <c r="C28" t="s">
        <v>14</v>
      </c>
      <c r="D28">
        <v>20</v>
      </c>
      <c r="E28" s="2">
        <v>350000</v>
      </c>
      <c r="F28" s="2">
        <f t="shared" si="0"/>
        <v>7000000</v>
      </c>
    </row>
    <row r="29" spans="1:6" x14ac:dyDescent="0.3">
      <c r="A29" s="1">
        <v>46050</v>
      </c>
      <c r="B29" t="s">
        <v>9</v>
      </c>
      <c r="C29" t="s">
        <v>14</v>
      </c>
      <c r="D29">
        <v>18</v>
      </c>
      <c r="E29" s="2">
        <v>400000</v>
      </c>
      <c r="F29" s="2">
        <f t="shared" si="0"/>
        <v>7200000</v>
      </c>
    </row>
    <row r="30" spans="1:6" x14ac:dyDescent="0.3">
      <c r="A30" s="1">
        <v>46051</v>
      </c>
      <c r="B30" t="s">
        <v>6</v>
      </c>
      <c r="C30" t="s">
        <v>14</v>
      </c>
      <c r="D30">
        <v>35</v>
      </c>
      <c r="E30" s="2">
        <v>150000</v>
      </c>
      <c r="F30" s="2">
        <f t="shared" si="0"/>
        <v>5250000</v>
      </c>
    </row>
    <row r="31" spans="1:6" x14ac:dyDescent="0.3">
      <c r="A31" s="1">
        <v>46052</v>
      </c>
      <c r="B31" t="s">
        <v>10</v>
      </c>
      <c r="C31" t="s">
        <v>13</v>
      </c>
      <c r="D31">
        <v>4</v>
      </c>
      <c r="E31" s="2">
        <v>2500000</v>
      </c>
      <c r="F31" s="2">
        <f t="shared" si="0"/>
        <v>10000000</v>
      </c>
    </row>
    <row r="32" spans="1:6" x14ac:dyDescent="0.3">
      <c r="A32" s="1">
        <v>46053</v>
      </c>
      <c r="B32" t="s">
        <v>5</v>
      </c>
      <c r="C32" t="s">
        <v>13</v>
      </c>
      <c r="D32">
        <v>3</v>
      </c>
      <c r="E32" s="2">
        <v>8000000</v>
      </c>
      <c r="F32" s="2">
        <f t="shared" si="0"/>
        <v>24000000</v>
      </c>
    </row>
    <row r="33" spans="1:6" x14ac:dyDescent="0.3">
      <c r="A33" s="1">
        <v>46054</v>
      </c>
      <c r="B33" t="s">
        <v>8</v>
      </c>
      <c r="C33" t="s">
        <v>13</v>
      </c>
      <c r="D33">
        <v>5</v>
      </c>
      <c r="E33" s="2">
        <v>1800000</v>
      </c>
      <c r="F33" s="2">
        <f t="shared" si="0"/>
        <v>9000000</v>
      </c>
    </row>
    <row r="34" spans="1:6" x14ac:dyDescent="0.3">
      <c r="A34" s="1">
        <v>46055</v>
      </c>
      <c r="B34" t="s">
        <v>6</v>
      </c>
      <c r="C34" t="s">
        <v>14</v>
      </c>
      <c r="D34">
        <v>40</v>
      </c>
      <c r="E34" s="2">
        <v>150000</v>
      </c>
      <c r="F34" s="2">
        <f t="shared" si="0"/>
        <v>6000000</v>
      </c>
    </row>
    <row r="35" spans="1:6" x14ac:dyDescent="0.3">
      <c r="A35" s="1">
        <v>46056</v>
      </c>
      <c r="B35" t="s">
        <v>9</v>
      </c>
      <c r="C35" t="s">
        <v>14</v>
      </c>
      <c r="D35">
        <v>25</v>
      </c>
      <c r="E35" s="2">
        <v>400000</v>
      </c>
      <c r="F35" s="2">
        <f t="shared" si="0"/>
        <v>10000000</v>
      </c>
    </row>
    <row r="36" spans="1:6" x14ac:dyDescent="0.3">
      <c r="A36" s="1">
        <v>46057</v>
      </c>
      <c r="B36" t="s">
        <v>10</v>
      </c>
      <c r="C36" t="s">
        <v>13</v>
      </c>
      <c r="D36">
        <v>7</v>
      </c>
      <c r="E36" s="2">
        <v>2500000</v>
      </c>
      <c r="F36" s="2">
        <f t="shared" si="0"/>
        <v>17500000</v>
      </c>
    </row>
    <row r="37" spans="1:6" x14ac:dyDescent="0.3">
      <c r="A37" s="1">
        <v>46058</v>
      </c>
      <c r="B37" t="s">
        <v>12</v>
      </c>
      <c r="C37" t="s">
        <v>14</v>
      </c>
      <c r="D37">
        <v>12</v>
      </c>
      <c r="E37" s="2">
        <v>350000</v>
      </c>
      <c r="F37" s="2">
        <f t="shared" si="0"/>
        <v>4200000</v>
      </c>
    </row>
    <row r="38" spans="1:6" x14ac:dyDescent="0.3">
      <c r="A38" s="1">
        <v>46059</v>
      </c>
      <c r="B38" t="s">
        <v>5</v>
      </c>
      <c r="C38" t="s">
        <v>13</v>
      </c>
      <c r="D38">
        <v>2</v>
      </c>
      <c r="E38" s="2">
        <v>8000000</v>
      </c>
      <c r="F38" s="2">
        <f t="shared" si="0"/>
        <v>16000000</v>
      </c>
    </row>
    <row r="39" spans="1:6" x14ac:dyDescent="0.3">
      <c r="A39" s="1">
        <v>46060</v>
      </c>
      <c r="B39" t="s">
        <v>6</v>
      </c>
      <c r="C39" t="s">
        <v>14</v>
      </c>
      <c r="D39">
        <v>28</v>
      </c>
      <c r="E39" s="2">
        <v>150000</v>
      </c>
      <c r="F39" s="2">
        <f t="shared" si="0"/>
        <v>4200000</v>
      </c>
    </row>
    <row r="40" spans="1:6" x14ac:dyDescent="0.3">
      <c r="A40" s="1">
        <v>46061</v>
      </c>
      <c r="B40" t="s">
        <v>11</v>
      </c>
      <c r="C40" t="s">
        <v>13</v>
      </c>
      <c r="D40">
        <v>6</v>
      </c>
      <c r="E40" s="2">
        <v>1800000</v>
      </c>
      <c r="F40" s="2">
        <f t="shared" si="0"/>
        <v>10800000</v>
      </c>
    </row>
    <row r="41" spans="1:6" x14ac:dyDescent="0.3">
      <c r="A41" s="1">
        <v>46062</v>
      </c>
      <c r="B41" t="s">
        <v>9</v>
      </c>
      <c r="C41" t="s">
        <v>14</v>
      </c>
      <c r="D41">
        <v>30</v>
      </c>
      <c r="E41" s="2">
        <v>400000</v>
      </c>
      <c r="F41" s="2">
        <f t="shared" si="0"/>
        <v>12000000</v>
      </c>
    </row>
    <row r="42" spans="1:6" x14ac:dyDescent="0.3">
      <c r="A42" s="1">
        <v>46063</v>
      </c>
      <c r="B42" t="s">
        <v>10</v>
      </c>
      <c r="C42" t="s">
        <v>13</v>
      </c>
      <c r="D42">
        <v>9</v>
      </c>
      <c r="E42" s="2">
        <v>2500000</v>
      </c>
      <c r="F42" s="2">
        <f t="shared" si="0"/>
        <v>22500000</v>
      </c>
    </row>
    <row r="43" spans="1:6" x14ac:dyDescent="0.3">
      <c r="A43" s="1">
        <v>46064</v>
      </c>
      <c r="B43" t="s">
        <v>5</v>
      </c>
      <c r="C43" t="s">
        <v>13</v>
      </c>
      <c r="D43">
        <v>5</v>
      </c>
      <c r="E43" s="2">
        <v>8000000</v>
      </c>
      <c r="F43" s="2">
        <f t="shared" si="0"/>
        <v>40000000</v>
      </c>
    </row>
    <row r="44" spans="1:6" x14ac:dyDescent="0.3">
      <c r="A44" s="1">
        <v>46065</v>
      </c>
      <c r="B44" t="s">
        <v>12</v>
      </c>
      <c r="C44" t="s">
        <v>14</v>
      </c>
      <c r="D44">
        <v>25</v>
      </c>
      <c r="E44" s="2">
        <v>350000</v>
      </c>
      <c r="F44" s="2">
        <f t="shared" si="0"/>
        <v>8750000</v>
      </c>
    </row>
    <row r="45" spans="1:6" x14ac:dyDescent="0.3">
      <c r="A45" s="1">
        <v>46066</v>
      </c>
      <c r="B45" t="s">
        <v>6</v>
      </c>
      <c r="C45" t="s">
        <v>14</v>
      </c>
      <c r="D45">
        <v>45</v>
      </c>
      <c r="E45" s="2">
        <v>150000</v>
      </c>
      <c r="F45" s="2">
        <f t="shared" si="0"/>
        <v>6750000</v>
      </c>
    </row>
    <row r="46" spans="1:6" x14ac:dyDescent="0.3">
      <c r="A46" s="1">
        <v>46067</v>
      </c>
      <c r="B46" t="s">
        <v>11</v>
      </c>
      <c r="C46" t="s">
        <v>13</v>
      </c>
      <c r="D46">
        <v>4</v>
      </c>
      <c r="E46" s="2">
        <v>1800000</v>
      </c>
      <c r="F46" s="2">
        <f t="shared" si="0"/>
        <v>7200000</v>
      </c>
    </row>
    <row r="47" spans="1:6" x14ac:dyDescent="0.3">
      <c r="A47" s="1">
        <v>46068</v>
      </c>
      <c r="B47" t="s">
        <v>9</v>
      </c>
      <c r="C47" t="s">
        <v>14</v>
      </c>
      <c r="D47">
        <v>35</v>
      </c>
      <c r="E47" s="2">
        <v>400000</v>
      </c>
      <c r="F47" s="2">
        <f t="shared" si="0"/>
        <v>14000000</v>
      </c>
    </row>
    <row r="48" spans="1:6" x14ac:dyDescent="0.3">
      <c r="A48" s="1">
        <v>46069</v>
      </c>
      <c r="B48" t="s">
        <v>10</v>
      </c>
      <c r="C48" t="s">
        <v>13</v>
      </c>
      <c r="D48">
        <v>10</v>
      </c>
      <c r="E48" s="2">
        <v>2500000</v>
      </c>
      <c r="F48" s="2">
        <f t="shared" si="0"/>
        <v>25000000</v>
      </c>
    </row>
    <row r="49" spans="1:6" x14ac:dyDescent="0.3">
      <c r="A49" s="1">
        <v>46070</v>
      </c>
      <c r="B49" t="s">
        <v>5</v>
      </c>
      <c r="C49" t="s">
        <v>13</v>
      </c>
      <c r="D49">
        <v>3</v>
      </c>
      <c r="E49" s="2">
        <v>8000000</v>
      </c>
      <c r="F49" s="2">
        <f t="shared" si="0"/>
        <v>24000000</v>
      </c>
    </row>
    <row r="50" spans="1:6" x14ac:dyDescent="0.3">
      <c r="A50" s="1">
        <v>46071</v>
      </c>
      <c r="B50" t="s">
        <v>6</v>
      </c>
      <c r="C50" t="s">
        <v>14</v>
      </c>
      <c r="D50">
        <v>50</v>
      </c>
      <c r="E50" s="2">
        <v>150000</v>
      </c>
      <c r="F50" s="2">
        <f t="shared" si="0"/>
        <v>7500000</v>
      </c>
    </row>
    <row r="51" spans="1:6" x14ac:dyDescent="0.3">
      <c r="A51" s="1">
        <v>46072</v>
      </c>
      <c r="B51" t="s">
        <v>12</v>
      </c>
      <c r="C51" t="s">
        <v>14</v>
      </c>
      <c r="D51">
        <v>30</v>
      </c>
      <c r="E51" s="2">
        <v>350000</v>
      </c>
      <c r="F51" s="2">
        <f t="shared" si="0"/>
        <v>10500000</v>
      </c>
    </row>
    <row r="52" spans="1:6" x14ac:dyDescent="0.3">
      <c r="A5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5C84-BCD7-4EA9-97B1-AEE70534756C}">
  <dimension ref="A1:N4"/>
  <sheetViews>
    <sheetView tabSelected="1" zoomScale="80" zoomScaleNormal="80" workbookViewId="0">
      <selection activeCell="R24" sqref="R24"/>
    </sheetView>
  </sheetViews>
  <sheetFormatPr defaultRowHeight="14.4" x14ac:dyDescent="0.3"/>
  <cols>
    <col min="1" max="1" width="18.77734375" customWidth="1"/>
    <col min="2" max="2" width="17.33203125" bestFit="1" customWidth="1"/>
    <col min="3" max="3" width="16.109375" bestFit="1" customWidth="1"/>
    <col min="4" max="4" width="17.21875" bestFit="1" customWidth="1"/>
  </cols>
  <sheetData>
    <row r="1" spans="1:14" ht="23.4" x14ac:dyDescent="0.45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5" t="s">
        <v>17</v>
      </c>
      <c r="B3" s="5" t="s">
        <v>18</v>
      </c>
      <c r="C3" s="5" t="s">
        <v>19</v>
      </c>
      <c r="D3" s="5" t="s">
        <v>20</v>
      </c>
    </row>
    <row r="4" spans="1:14" x14ac:dyDescent="0.3">
      <c r="A4" s="6">
        <f>SUM(Sales_Data[Revenue])</f>
        <v>543850000</v>
      </c>
      <c r="B4" s="7">
        <f>+SUM(Sales_Data[Quantity])</f>
        <v>695</v>
      </c>
      <c r="C4" s="7">
        <f>COUNTA(Sales_Data[Product])</f>
        <v>50</v>
      </c>
      <c r="D4" s="6">
        <f>AVERAGE(Sales_Data[Revenue])</f>
        <v>10877000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Pivot Category</vt:lpstr>
      <vt:lpstr>Sales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Haikal Ardiansyah</dc:creator>
  <cp:lastModifiedBy>Mochamad Haikal Ardiansyah</cp:lastModifiedBy>
  <dcterms:created xsi:type="dcterms:W3CDTF">2026-06-15T19:09:32Z</dcterms:created>
  <dcterms:modified xsi:type="dcterms:W3CDTF">2026-06-16T04:20:28Z</dcterms:modified>
</cp:coreProperties>
</file>